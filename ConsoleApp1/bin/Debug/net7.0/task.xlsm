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299\Downloads\"/>
    </mc:Choice>
  </mc:AlternateContent>
  <xr:revisionPtr revIDLastSave="0" documentId="13_ncr:1_{CC81876E-057A-4EB3-9F00-BE0E4D4F784D}" xr6:coauthVersionLast="47" xr6:coauthVersionMax="47" xr10:uidLastSave="{00000000-0000-0000-0000-000000000000}"/>
  <bookViews>
    <workbookView xWindow="-108" yWindow="-108" windowWidth="30936" windowHeight="19416" xr2:uid="{00000000-000D-0000-FFFF-FFFF00000000}"/>
  </bookViews>
  <sheets>
    <sheet name="Sheet1" sheetId="1" r:id="rId1"/>
    <sheet name="Sheet2" sheetId="2" r:id="rId2"/>
    <sheet name="5.11（喇叭删除前）" sheetId="3" r:id="rId3"/>
    <sheet name="Sheet3" sheetId="4" r:id="rId4"/>
    <sheet name="Sheet4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5" l="1"/>
  <c r="B115" i="5"/>
  <c r="D114" i="5"/>
  <c r="B114" i="5"/>
  <c r="D113" i="5"/>
  <c r="B113" i="5"/>
  <c r="D112" i="5"/>
  <c r="B112" i="5"/>
  <c r="D111" i="5"/>
  <c r="B111" i="5"/>
  <c r="D110" i="5"/>
  <c r="B110" i="5"/>
  <c r="D109" i="5"/>
  <c r="B109" i="5"/>
  <c r="D108" i="5"/>
  <c r="B108" i="5"/>
  <c r="D107" i="5"/>
  <c r="B107" i="5"/>
  <c r="D106" i="5"/>
  <c r="B106" i="5"/>
  <c r="D105" i="5"/>
  <c r="B105" i="5"/>
  <c r="D104" i="5"/>
  <c r="B104" i="5"/>
  <c r="D103" i="5"/>
  <c r="B103" i="5"/>
  <c r="D102" i="5"/>
  <c r="B102" i="5"/>
  <c r="D101" i="5"/>
  <c r="B101" i="5"/>
  <c r="D100" i="5"/>
  <c r="B100" i="5"/>
  <c r="D99" i="5"/>
  <c r="B99" i="5"/>
  <c r="D98" i="5"/>
  <c r="B98" i="5"/>
  <c r="D97" i="5"/>
  <c r="B97" i="5"/>
  <c r="D96" i="5"/>
  <c r="B96" i="5"/>
  <c r="D95" i="5"/>
  <c r="B95" i="5"/>
  <c r="D94" i="5"/>
  <c r="B94" i="5"/>
  <c r="D93" i="5"/>
  <c r="B93" i="5"/>
  <c r="D92" i="5"/>
  <c r="B92" i="5"/>
  <c r="D91" i="5"/>
  <c r="B91" i="5"/>
  <c r="D90" i="5"/>
  <c r="B90" i="5"/>
  <c r="D89" i="5"/>
  <c r="B89" i="5"/>
  <c r="D88" i="5"/>
  <c r="B88" i="5"/>
  <c r="D87" i="5"/>
  <c r="B87" i="5"/>
  <c r="D86" i="5"/>
  <c r="B86" i="5"/>
  <c r="D85" i="5"/>
  <c r="B85" i="5"/>
  <c r="D84" i="5"/>
  <c r="B84" i="5"/>
  <c r="D83" i="5"/>
  <c r="B83" i="5"/>
  <c r="D82" i="5"/>
  <c r="B82" i="5"/>
  <c r="D81" i="5"/>
  <c r="B81" i="5"/>
  <c r="D80" i="5"/>
  <c r="B80" i="5"/>
  <c r="D79" i="5"/>
  <c r="B79" i="5"/>
  <c r="D78" i="5"/>
  <c r="B78" i="5"/>
  <c r="D77" i="5"/>
  <c r="B77" i="5"/>
  <c r="D76" i="5"/>
  <c r="B76" i="5"/>
  <c r="D75" i="5"/>
  <c r="B75" i="5"/>
  <c r="D74" i="5"/>
  <c r="B74" i="5"/>
  <c r="D73" i="5"/>
  <c r="B73" i="5"/>
  <c r="D72" i="5"/>
  <c r="B72" i="5"/>
  <c r="D71" i="5"/>
  <c r="B71" i="5"/>
  <c r="D70" i="5"/>
  <c r="B70" i="5"/>
  <c r="D69" i="5"/>
  <c r="B69" i="5"/>
  <c r="D68" i="5"/>
  <c r="B68" i="5"/>
  <c r="D67" i="5"/>
  <c r="B67" i="5"/>
  <c r="D66" i="5"/>
  <c r="B66" i="5"/>
  <c r="D65" i="5"/>
  <c r="B65" i="5"/>
  <c r="D64" i="5"/>
  <c r="B64" i="5"/>
  <c r="D63" i="5"/>
  <c r="B63" i="5"/>
  <c r="D62" i="5"/>
  <c r="B62" i="5"/>
  <c r="D61" i="5"/>
  <c r="B61" i="5"/>
  <c r="D60" i="5"/>
  <c r="B60" i="5"/>
  <c r="D59" i="5"/>
  <c r="B59" i="5"/>
  <c r="D58" i="5"/>
  <c r="B58" i="5"/>
  <c r="D57" i="5"/>
  <c r="B57" i="5"/>
  <c r="D56" i="5"/>
  <c r="B56" i="5"/>
  <c r="D55" i="5"/>
  <c r="B55" i="5"/>
  <c r="D54" i="5"/>
  <c r="B54" i="5"/>
  <c r="D53" i="5"/>
  <c r="B53" i="5"/>
  <c r="D52" i="5"/>
  <c r="B52" i="5"/>
  <c r="D51" i="5"/>
  <c r="B51" i="5"/>
  <c r="D50" i="5"/>
  <c r="B50" i="5"/>
  <c r="D49" i="5"/>
  <c r="B49" i="5"/>
  <c r="D48" i="5"/>
  <c r="B48" i="5"/>
  <c r="D47" i="5"/>
  <c r="B47" i="5"/>
  <c r="D46" i="5"/>
  <c r="B46" i="5"/>
  <c r="D45" i="5"/>
  <c r="B45" i="5"/>
  <c r="D44" i="5"/>
  <c r="B44" i="5"/>
  <c r="D43" i="5"/>
  <c r="B43" i="5"/>
  <c r="D42" i="5"/>
  <c r="B42" i="5"/>
  <c r="D41" i="5"/>
  <c r="B41" i="5"/>
  <c r="D40" i="5"/>
  <c r="B40" i="5"/>
  <c r="D39" i="5"/>
  <c r="B39" i="5"/>
  <c r="D38" i="5"/>
  <c r="B38" i="5"/>
  <c r="D37" i="5"/>
  <c r="B37" i="5"/>
  <c r="D36" i="5"/>
  <c r="B36" i="5"/>
  <c r="D35" i="5"/>
  <c r="B35" i="5"/>
  <c r="D34" i="5"/>
  <c r="B34" i="5"/>
  <c r="D33" i="5"/>
  <c r="B33" i="5"/>
  <c r="D32" i="5"/>
  <c r="B32" i="5"/>
  <c r="D31" i="5"/>
  <c r="B31" i="5"/>
  <c r="D30" i="5"/>
  <c r="B30" i="5"/>
  <c r="D29" i="5"/>
  <c r="B29" i="5"/>
  <c r="D28" i="5"/>
  <c r="B28" i="5"/>
  <c r="D27" i="5"/>
  <c r="B27" i="5"/>
  <c r="D26" i="5"/>
  <c r="B26" i="5"/>
  <c r="D25" i="5"/>
  <c r="B25" i="5"/>
  <c r="D24" i="5"/>
  <c r="B24" i="5"/>
  <c r="D23" i="5"/>
  <c r="B23" i="5"/>
  <c r="D22" i="5"/>
  <c r="B22" i="5"/>
  <c r="D21" i="5"/>
  <c r="B21" i="5"/>
  <c r="D20" i="5"/>
  <c r="B20" i="5"/>
  <c r="D19" i="5"/>
  <c r="B19" i="5"/>
  <c r="D18" i="5"/>
  <c r="B18" i="5"/>
  <c r="D17" i="5"/>
  <c r="B17" i="5"/>
  <c r="D16" i="5"/>
  <c r="B16" i="5"/>
  <c r="D15" i="5"/>
  <c r="B15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CM3" i="5"/>
  <c r="CL3" i="5"/>
  <c r="CK3" i="5"/>
  <c r="CJ3" i="5"/>
  <c r="CI3" i="5"/>
  <c r="CH3" i="5"/>
  <c r="CG3" i="5"/>
  <c r="CF3" i="5"/>
  <c r="CE3" i="5"/>
  <c r="CD3" i="5"/>
  <c r="CC3" i="5"/>
  <c r="CB3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C84" i="4"/>
  <c r="F83" i="4"/>
  <c r="C83" i="4"/>
  <c r="F82" i="4"/>
  <c r="C82" i="4"/>
  <c r="F81" i="4"/>
  <c r="C81" i="4"/>
  <c r="F80" i="4"/>
  <c r="C80" i="4"/>
  <c r="F79" i="4"/>
  <c r="C79" i="4"/>
  <c r="F78" i="4"/>
  <c r="C78" i="4"/>
  <c r="F77" i="4"/>
  <c r="C77" i="4"/>
  <c r="F76" i="4"/>
  <c r="C76" i="4"/>
  <c r="F75" i="4"/>
  <c r="C75" i="4"/>
  <c r="F74" i="4"/>
  <c r="C74" i="4"/>
  <c r="F73" i="4"/>
  <c r="C73" i="4"/>
  <c r="F72" i="4"/>
  <c r="C72" i="4"/>
  <c r="F71" i="4"/>
  <c r="C71" i="4"/>
  <c r="F70" i="4"/>
  <c r="C70" i="4"/>
  <c r="F69" i="4"/>
  <c r="C69" i="4"/>
  <c r="F68" i="4"/>
  <c r="C68" i="4"/>
  <c r="F67" i="4"/>
  <c r="C67" i="4"/>
  <c r="F66" i="4"/>
  <c r="C66" i="4"/>
  <c r="F65" i="4"/>
  <c r="C65" i="4"/>
  <c r="F64" i="4"/>
  <c r="C64" i="4"/>
  <c r="F63" i="4"/>
  <c r="C63" i="4"/>
  <c r="F62" i="4"/>
  <c r="C62" i="4"/>
  <c r="F61" i="4"/>
  <c r="C61" i="4"/>
  <c r="F60" i="4"/>
  <c r="C60" i="4"/>
  <c r="F59" i="4"/>
  <c r="C59" i="4"/>
  <c r="F58" i="4"/>
  <c r="C58" i="4"/>
  <c r="F57" i="4"/>
  <c r="C57" i="4"/>
  <c r="F56" i="4"/>
  <c r="C56" i="4"/>
  <c r="F55" i="4"/>
  <c r="C55" i="4"/>
  <c r="F54" i="4"/>
  <c r="C54" i="4"/>
  <c r="F53" i="4"/>
  <c r="C53" i="4"/>
  <c r="F52" i="4"/>
  <c r="C52" i="4"/>
  <c r="F51" i="4"/>
  <c r="C51" i="4"/>
  <c r="F50" i="4"/>
  <c r="C50" i="4"/>
  <c r="F49" i="4"/>
  <c r="C49" i="4"/>
  <c r="F48" i="4"/>
  <c r="C48" i="4"/>
  <c r="F47" i="4"/>
  <c r="C47" i="4"/>
  <c r="F46" i="4"/>
  <c r="C46" i="4"/>
  <c r="F45" i="4"/>
  <c r="C45" i="4"/>
  <c r="F44" i="4"/>
  <c r="C44" i="4"/>
  <c r="F43" i="4"/>
  <c r="C43" i="4"/>
  <c r="F42" i="4"/>
  <c r="C42" i="4"/>
  <c r="F41" i="4"/>
  <c r="C41" i="4"/>
  <c r="F40" i="4"/>
  <c r="C40" i="4"/>
  <c r="F39" i="4"/>
  <c r="C39" i="4"/>
  <c r="F38" i="4"/>
  <c r="C38" i="4"/>
  <c r="F37" i="4"/>
  <c r="C37" i="4"/>
  <c r="F36" i="4"/>
  <c r="C36" i="4"/>
  <c r="F35" i="4"/>
  <c r="C35" i="4"/>
  <c r="F34" i="4"/>
  <c r="C34" i="4"/>
  <c r="F33" i="4"/>
  <c r="C33" i="4"/>
  <c r="F32" i="4"/>
  <c r="C32" i="4"/>
  <c r="F31" i="4"/>
  <c r="C31" i="4"/>
  <c r="F30" i="4"/>
  <c r="C30" i="4"/>
  <c r="F29" i="4"/>
  <c r="C29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10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2" i="4"/>
  <c r="O63" i="3"/>
  <c r="M63" i="3"/>
  <c r="K63" i="3"/>
  <c r="H63" i="3"/>
  <c r="F63" i="3"/>
  <c r="O62" i="3"/>
  <c r="M62" i="3"/>
  <c r="K62" i="3"/>
  <c r="H62" i="3"/>
  <c r="F62" i="3"/>
  <c r="O61" i="3"/>
  <c r="M61" i="3"/>
  <c r="K61" i="3"/>
  <c r="H61" i="3"/>
  <c r="F61" i="3"/>
  <c r="O60" i="3"/>
  <c r="M60" i="3"/>
  <c r="K60" i="3"/>
  <c r="H60" i="3"/>
  <c r="F60" i="3"/>
  <c r="O59" i="3"/>
  <c r="M59" i="3"/>
  <c r="K59" i="3"/>
  <c r="H59" i="3"/>
  <c r="F59" i="3"/>
  <c r="O58" i="3"/>
  <c r="M58" i="3"/>
  <c r="K58" i="3"/>
  <c r="H58" i="3"/>
  <c r="F58" i="3"/>
  <c r="O57" i="3"/>
  <c r="M57" i="3"/>
  <c r="K57" i="3"/>
  <c r="H57" i="3"/>
  <c r="F57" i="3"/>
  <c r="O56" i="3"/>
  <c r="M56" i="3"/>
  <c r="K56" i="3"/>
  <c r="H56" i="3"/>
  <c r="F56" i="3"/>
  <c r="O55" i="3"/>
  <c r="M55" i="3"/>
  <c r="K55" i="3"/>
  <c r="H55" i="3"/>
  <c r="F55" i="3"/>
  <c r="O54" i="3"/>
  <c r="M54" i="3"/>
  <c r="K54" i="3"/>
  <c r="H54" i="3"/>
  <c r="F54" i="3"/>
  <c r="K53" i="3"/>
  <c r="H53" i="3"/>
  <c r="O52" i="3"/>
  <c r="M52" i="3"/>
  <c r="K52" i="3"/>
  <c r="H52" i="3"/>
  <c r="F52" i="3"/>
  <c r="K51" i="3"/>
  <c r="H51" i="3"/>
  <c r="K50" i="3"/>
  <c r="H50" i="3"/>
  <c r="K49" i="3"/>
  <c r="H49" i="3"/>
  <c r="K48" i="3"/>
  <c r="H48" i="3"/>
  <c r="K47" i="3"/>
  <c r="H47" i="3"/>
  <c r="O46" i="3"/>
  <c r="M46" i="3"/>
  <c r="K46" i="3"/>
  <c r="H46" i="3"/>
  <c r="F46" i="3"/>
  <c r="O45" i="3"/>
  <c r="M45" i="3"/>
  <c r="K45" i="3"/>
  <c r="H45" i="3"/>
  <c r="F45" i="3"/>
  <c r="O44" i="3"/>
  <c r="M44" i="3"/>
  <c r="K44" i="3"/>
  <c r="H44" i="3"/>
  <c r="F44" i="3"/>
  <c r="O43" i="3"/>
  <c r="M43" i="3"/>
  <c r="K43" i="3"/>
  <c r="H43" i="3"/>
  <c r="F43" i="3"/>
  <c r="O42" i="3"/>
  <c r="M42" i="3"/>
  <c r="K42" i="3"/>
  <c r="H42" i="3"/>
  <c r="F42" i="3"/>
  <c r="O41" i="3"/>
  <c r="M41" i="3"/>
  <c r="K41" i="3"/>
  <c r="H41" i="3"/>
  <c r="F41" i="3"/>
  <c r="O40" i="3"/>
  <c r="M40" i="3"/>
  <c r="K40" i="3"/>
  <c r="H40" i="3"/>
  <c r="F40" i="3"/>
  <c r="O39" i="3"/>
  <c r="M39" i="3"/>
  <c r="K39" i="3"/>
  <c r="H39" i="3"/>
  <c r="F39" i="3"/>
  <c r="O38" i="3"/>
  <c r="M38" i="3"/>
  <c r="K38" i="3"/>
  <c r="H38" i="3"/>
  <c r="F38" i="3"/>
  <c r="O37" i="3"/>
  <c r="M37" i="3"/>
  <c r="K37" i="3"/>
  <c r="H37" i="3"/>
  <c r="F37" i="3"/>
  <c r="O36" i="3"/>
  <c r="M36" i="3"/>
  <c r="K36" i="3"/>
  <c r="H36" i="3"/>
  <c r="F36" i="3"/>
  <c r="O35" i="3"/>
  <c r="M35" i="3"/>
  <c r="K35" i="3"/>
  <c r="H35" i="3"/>
  <c r="F35" i="3"/>
  <c r="O34" i="3"/>
  <c r="M34" i="3"/>
  <c r="K34" i="3"/>
  <c r="H34" i="3"/>
  <c r="F34" i="3"/>
  <c r="O33" i="3"/>
  <c r="M33" i="3"/>
  <c r="K33" i="3"/>
  <c r="H33" i="3"/>
  <c r="F33" i="3"/>
  <c r="O32" i="3"/>
  <c r="M32" i="3"/>
  <c r="K32" i="3"/>
  <c r="H32" i="3"/>
  <c r="F32" i="3"/>
  <c r="O31" i="3"/>
  <c r="M31" i="3"/>
  <c r="K31" i="3"/>
  <c r="H31" i="3"/>
  <c r="F31" i="3"/>
  <c r="O30" i="3"/>
  <c r="M30" i="3"/>
  <c r="K30" i="3"/>
  <c r="H30" i="3"/>
  <c r="F30" i="3"/>
  <c r="O29" i="3"/>
  <c r="M29" i="3"/>
  <c r="K29" i="3"/>
  <c r="H29" i="3"/>
  <c r="F29" i="3"/>
  <c r="O28" i="3"/>
  <c r="M28" i="3"/>
  <c r="K28" i="3"/>
  <c r="H28" i="3"/>
  <c r="F28" i="3"/>
  <c r="O27" i="3"/>
  <c r="M27" i="3"/>
  <c r="K27" i="3"/>
  <c r="H27" i="3"/>
  <c r="F27" i="3"/>
  <c r="O26" i="3"/>
  <c r="M26" i="3"/>
  <c r="K26" i="3"/>
  <c r="H26" i="3"/>
  <c r="F26" i="3"/>
  <c r="O25" i="3"/>
  <c r="M25" i="3"/>
  <c r="K25" i="3"/>
  <c r="H25" i="3"/>
  <c r="F25" i="3"/>
  <c r="O24" i="3"/>
  <c r="M24" i="3"/>
  <c r="K24" i="3"/>
  <c r="H24" i="3"/>
  <c r="F24" i="3"/>
  <c r="O23" i="3"/>
  <c r="M23" i="3"/>
  <c r="K23" i="3"/>
  <c r="H23" i="3"/>
  <c r="F23" i="3"/>
  <c r="O22" i="3"/>
  <c r="M22" i="3"/>
  <c r="K22" i="3"/>
  <c r="H22" i="3"/>
  <c r="F22" i="3"/>
  <c r="O21" i="3"/>
  <c r="M21" i="3"/>
  <c r="K21" i="3"/>
  <c r="H21" i="3"/>
  <c r="F21" i="3"/>
  <c r="O20" i="3"/>
  <c r="M20" i="3"/>
  <c r="K20" i="3"/>
  <c r="H20" i="3"/>
  <c r="F20" i="3"/>
  <c r="O19" i="3"/>
  <c r="M19" i="3"/>
  <c r="K19" i="3"/>
  <c r="H19" i="3"/>
  <c r="F19" i="3"/>
  <c r="O18" i="3"/>
  <c r="M18" i="3"/>
  <c r="K18" i="3"/>
  <c r="H18" i="3"/>
  <c r="F18" i="3"/>
  <c r="O17" i="3"/>
  <c r="M17" i="3"/>
  <c r="K17" i="3"/>
  <c r="H17" i="3"/>
  <c r="F17" i="3"/>
  <c r="A17" i="3"/>
  <c r="O16" i="3"/>
  <c r="M16" i="3"/>
  <c r="K16" i="3"/>
  <c r="H16" i="3"/>
  <c r="F16" i="3"/>
  <c r="A16" i="3"/>
  <c r="O15" i="3"/>
  <c r="M15" i="3"/>
  <c r="K15" i="3"/>
  <c r="H15" i="3"/>
  <c r="F15" i="3"/>
  <c r="A15" i="3"/>
  <c r="O14" i="3"/>
  <c r="M14" i="3"/>
  <c r="K14" i="3"/>
  <c r="H14" i="3"/>
  <c r="F14" i="3"/>
  <c r="A14" i="3"/>
  <c r="O13" i="3"/>
  <c r="M13" i="3"/>
  <c r="K13" i="3"/>
  <c r="H13" i="3"/>
  <c r="F13" i="3"/>
  <c r="A13" i="3"/>
  <c r="O12" i="3"/>
  <c r="M12" i="3"/>
  <c r="K12" i="3"/>
  <c r="H12" i="3"/>
  <c r="F12" i="3"/>
  <c r="A12" i="3"/>
  <c r="O11" i="3"/>
  <c r="M11" i="3"/>
  <c r="K11" i="3"/>
  <c r="H11" i="3"/>
  <c r="F11" i="3"/>
  <c r="A11" i="3"/>
  <c r="O10" i="3"/>
  <c r="M10" i="3"/>
  <c r="K10" i="3"/>
  <c r="H10" i="3"/>
  <c r="F10" i="3"/>
  <c r="A10" i="3"/>
  <c r="O9" i="3"/>
  <c r="M9" i="3"/>
  <c r="K9" i="3"/>
  <c r="H9" i="3"/>
  <c r="F9" i="3"/>
  <c r="A9" i="3"/>
  <c r="O8" i="3"/>
  <c r="M8" i="3"/>
  <c r="K8" i="3"/>
  <c r="H8" i="3"/>
  <c r="F8" i="3"/>
  <c r="A8" i="3"/>
  <c r="O7" i="3"/>
  <c r="M7" i="3"/>
  <c r="K7" i="3"/>
  <c r="H7" i="3"/>
  <c r="F7" i="3"/>
  <c r="A7" i="3"/>
  <c r="O6" i="3"/>
  <c r="M6" i="3"/>
  <c r="K6" i="3"/>
  <c r="H6" i="3"/>
  <c r="F6" i="3"/>
  <c r="A468" i="2"/>
  <c r="A466" i="2"/>
  <c r="A382" i="2"/>
  <c r="A381" i="2"/>
  <c r="A379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208" i="2"/>
  <c r="A207" i="2"/>
  <c r="A206" i="2"/>
  <c r="A205" i="2"/>
  <c r="O95" i="1"/>
  <c r="M95" i="1"/>
  <c r="K95" i="1"/>
  <c r="H95" i="1"/>
  <c r="F95" i="1"/>
  <c r="O94" i="1"/>
  <c r="M94" i="1"/>
  <c r="K94" i="1"/>
  <c r="H94" i="1"/>
  <c r="F94" i="1"/>
  <c r="O93" i="1"/>
  <c r="M93" i="1"/>
  <c r="K93" i="1"/>
  <c r="H93" i="1"/>
  <c r="F93" i="1"/>
  <c r="O92" i="1"/>
  <c r="M92" i="1"/>
  <c r="K92" i="1"/>
  <c r="H92" i="1"/>
  <c r="F92" i="1"/>
  <c r="O91" i="1"/>
  <c r="M91" i="1"/>
  <c r="K91" i="1"/>
  <c r="H91" i="1"/>
  <c r="F91" i="1"/>
  <c r="O90" i="1"/>
  <c r="M90" i="1"/>
  <c r="K90" i="1"/>
  <c r="H90" i="1"/>
  <c r="F90" i="1"/>
  <c r="O89" i="1"/>
  <c r="M89" i="1"/>
  <c r="K89" i="1"/>
  <c r="H89" i="1"/>
  <c r="F89" i="1"/>
  <c r="O88" i="1"/>
  <c r="M88" i="1"/>
  <c r="K88" i="1"/>
  <c r="H88" i="1"/>
  <c r="F88" i="1"/>
  <c r="O87" i="1"/>
  <c r="M87" i="1"/>
  <c r="K87" i="1"/>
  <c r="H87" i="1"/>
  <c r="F87" i="1"/>
  <c r="O86" i="1"/>
  <c r="M86" i="1"/>
  <c r="K86" i="1"/>
  <c r="H86" i="1"/>
  <c r="F86" i="1"/>
  <c r="O85" i="1"/>
  <c r="M85" i="1"/>
  <c r="K85" i="1"/>
  <c r="H85" i="1"/>
  <c r="O84" i="1"/>
  <c r="M84" i="1"/>
  <c r="K84" i="1"/>
  <c r="H84" i="1"/>
  <c r="O83" i="1"/>
  <c r="M83" i="1"/>
  <c r="K83" i="1"/>
  <c r="H83" i="1"/>
  <c r="O82" i="1"/>
  <c r="M82" i="1"/>
  <c r="K82" i="1"/>
  <c r="H82" i="1"/>
  <c r="F82" i="1"/>
  <c r="O81" i="1"/>
  <c r="M81" i="1"/>
  <c r="K81" i="1"/>
  <c r="H81" i="1"/>
  <c r="F81" i="1"/>
  <c r="O80" i="1"/>
  <c r="M80" i="1"/>
  <c r="K80" i="1"/>
  <c r="H80" i="1"/>
  <c r="O79" i="1"/>
  <c r="M79" i="1"/>
  <c r="K79" i="1"/>
  <c r="H79" i="1"/>
  <c r="F79" i="1"/>
  <c r="O78" i="1"/>
  <c r="M78" i="1"/>
  <c r="K78" i="1"/>
  <c r="H78" i="1"/>
  <c r="O77" i="1"/>
  <c r="M77" i="1"/>
  <c r="K77" i="1"/>
  <c r="H77" i="1"/>
  <c r="O76" i="1"/>
  <c r="M76" i="1"/>
  <c r="K76" i="1"/>
  <c r="H76" i="1"/>
  <c r="O75" i="1"/>
  <c r="M75" i="1"/>
  <c r="K75" i="1"/>
  <c r="H75" i="1"/>
  <c r="O74" i="1"/>
  <c r="M74" i="1"/>
  <c r="K74" i="1"/>
  <c r="H74" i="1"/>
  <c r="O73" i="1"/>
  <c r="M73" i="1"/>
  <c r="K73" i="1"/>
  <c r="H73" i="1"/>
  <c r="F73" i="1"/>
  <c r="O72" i="1"/>
  <c r="M72" i="1"/>
  <c r="K72" i="1"/>
  <c r="H72" i="1"/>
  <c r="F72" i="1"/>
  <c r="O71" i="1"/>
  <c r="M71" i="1"/>
  <c r="K71" i="1"/>
  <c r="H71" i="1"/>
  <c r="F71" i="1"/>
  <c r="O70" i="1"/>
  <c r="M70" i="1"/>
  <c r="K70" i="1"/>
  <c r="H70" i="1"/>
  <c r="F70" i="1"/>
  <c r="O68" i="1"/>
  <c r="M68" i="1"/>
  <c r="K68" i="1"/>
  <c r="H68" i="1"/>
  <c r="O67" i="1"/>
  <c r="M67" i="1"/>
  <c r="K67" i="1"/>
  <c r="H67" i="1"/>
  <c r="O66" i="1"/>
  <c r="M66" i="1"/>
  <c r="K66" i="1"/>
  <c r="H66" i="1"/>
  <c r="O65" i="1"/>
  <c r="M65" i="1"/>
  <c r="K65" i="1"/>
  <c r="H65" i="1"/>
  <c r="O64" i="1"/>
  <c r="M64" i="1"/>
  <c r="K64" i="1"/>
  <c r="H64" i="1"/>
  <c r="O63" i="1"/>
  <c r="M63" i="1"/>
  <c r="K63" i="1"/>
  <c r="H63" i="1"/>
  <c r="F63" i="1"/>
  <c r="O62" i="1"/>
  <c r="M62" i="1"/>
  <c r="K62" i="1"/>
  <c r="H62" i="1"/>
  <c r="F62" i="1"/>
  <c r="O61" i="1"/>
  <c r="M61" i="1"/>
  <c r="K61" i="1"/>
  <c r="H61" i="1"/>
  <c r="F61" i="1"/>
  <c r="O60" i="1"/>
  <c r="M60" i="1"/>
  <c r="K60" i="1"/>
  <c r="H60" i="1"/>
  <c r="F60" i="1"/>
  <c r="O59" i="1"/>
  <c r="M59" i="1"/>
  <c r="K59" i="1"/>
  <c r="H59" i="1"/>
  <c r="F59" i="1"/>
  <c r="O58" i="1"/>
  <c r="M58" i="1"/>
  <c r="K58" i="1"/>
  <c r="H58" i="1"/>
  <c r="F58" i="1"/>
  <c r="O57" i="1"/>
  <c r="M57" i="1"/>
  <c r="K57" i="1"/>
  <c r="H57" i="1"/>
  <c r="F57" i="1"/>
  <c r="O56" i="1"/>
  <c r="M56" i="1"/>
  <c r="K56" i="1"/>
  <c r="H56" i="1"/>
  <c r="F56" i="1"/>
  <c r="O55" i="1"/>
  <c r="M55" i="1"/>
  <c r="K55" i="1"/>
  <c r="H55" i="1"/>
  <c r="F55" i="1"/>
  <c r="O54" i="1"/>
  <c r="M54" i="1"/>
  <c r="K54" i="1"/>
  <c r="H54" i="1"/>
  <c r="F54" i="1"/>
  <c r="O53" i="1"/>
  <c r="M53" i="1"/>
  <c r="K53" i="1"/>
  <c r="H53" i="1"/>
  <c r="F53" i="1"/>
  <c r="M52" i="1"/>
  <c r="K52" i="1"/>
  <c r="H52" i="1"/>
  <c r="K51" i="1"/>
  <c r="H51" i="1"/>
  <c r="K50" i="1"/>
  <c r="H50" i="1"/>
  <c r="K49" i="1"/>
  <c r="H49" i="1"/>
  <c r="M48" i="1"/>
  <c r="K48" i="1"/>
  <c r="H48" i="1"/>
  <c r="K47" i="1"/>
  <c r="H47" i="1"/>
  <c r="M46" i="1"/>
  <c r="K46" i="1"/>
  <c r="H46" i="1"/>
  <c r="M45" i="1"/>
  <c r="K45" i="1"/>
  <c r="H45" i="1"/>
  <c r="O44" i="1"/>
  <c r="M44" i="1"/>
  <c r="K44" i="1"/>
  <c r="H44" i="1"/>
  <c r="F44" i="1"/>
  <c r="O43" i="1"/>
  <c r="M43" i="1"/>
  <c r="K43" i="1"/>
  <c r="H43" i="1"/>
  <c r="F43" i="1"/>
  <c r="O42" i="1"/>
  <c r="M42" i="1"/>
  <c r="K42" i="1"/>
  <c r="H42" i="1"/>
  <c r="F42" i="1"/>
  <c r="O41" i="1"/>
  <c r="M41" i="1"/>
  <c r="K41" i="1"/>
  <c r="H41" i="1"/>
  <c r="F41" i="1"/>
  <c r="O40" i="1"/>
  <c r="M40" i="1"/>
  <c r="K40" i="1"/>
  <c r="H40" i="1"/>
  <c r="F40" i="1"/>
  <c r="O39" i="1"/>
  <c r="M39" i="1"/>
  <c r="K39" i="1"/>
  <c r="H39" i="1"/>
  <c r="F39" i="1"/>
  <c r="O38" i="1"/>
  <c r="M38" i="1"/>
  <c r="K38" i="1"/>
  <c r="H38" i="1"/>
  <c r="F38" i="1"/>
  <c r="O37" i="1"/>
  <c r="M37" i="1"/>
  <c r="K37" i="1"/>
  <c r="H37" i="1"/>
  <c r="F37" i="1"/>
  <c r="O36" i="1"/>
  <c r="M36" i="1"/>
  <c r="K36" i="1"/>
  <c r="H36" i="1"/>
  <c r="F36" i="1"/>
  <c r="O35" i="1"/>
  <c r="M35" i="1"/>
  <c r="K35" i="1"/>
  <c r="H35" i="1"/>
  <c r="F35" i="1"/>
  <c r="O34" i="1"/>
  <c r="M34" i="1"/>
  <c r="K34" i="1"/>
  <c r="H34" i="1"/>
  <c r="F34" i="1"/>
  <c r="O33" i="1"/>
  <c r="M33" i="1"/>
  <c r="K33" i="1"/>
  <c r="H33" i="1"/>
  <c r="F33" i="1"/>
  <c r="O32" i="1"/>
  <c r="M32" i="1"/>
  <c r="K32" i="1"/>
  <c r="H32" i="1"/>
  <c r="F32" i="1"/>
  <c r="O31" i="1"/>
  <c r="M31" i="1"/>
  <c r="K31" i="1"/>
  <c r="H31" i="1"/>
  <c r="F31" i="1"/>
  <c r="O30" i="1"/>
  <c r="M30" i="1"/>
  <c r="K30" i="1"/>
  <c r="H30" i="1"/>
  <c r="F30" i="1"/>
  <c r="O29" i="1"/>
  <c r="M29" i="1"/>
  <c r="K29" i="1"/>
  <c r="H29" i="1"/>
  <c r="F29" i="1"/>
  <c r="O28" i="1"/>
  <c r="M28" i="1"/>
  <c r="K28" i="1"/>
  <c r="H28" i="1"/>
  <c r="F28" i="1"/>
  <c r="O27" i="1"/>
  <c r="M27" i="1"/>
  <c r="K27" i="1"/>
  <c r="H27" i="1"/>
  <c r="F27" i="1"/>
  <c r="O26" i="1"/>
  <c r="M26" i="1"/>
  <c r="K26" i="1"/>
  <c r="H26" i="1"/>
  <c r="F26" i="1"/>
  <c r="O25" i="1"/>
  <c r="M25" i="1"/>
  <c r="K25" i="1"/>
  <c r="H25" i="1"/>
  <c r="F25" i="1"/>
  <c r="O24" i="1"/>
  <c r="M24" i="1"/>
  <c r="K24" i="1"/>
  <c r="H24" i="1"/>
  <c r="F24" i="1"/>
  <c r="O23" i="1"/>
  <c r="M23" i="1"/>
  <c r="K23" i="1"/>
  <c r="H23" i="1"/>
  <c r="F23" i="1"/>
  <c r="O22" i="1"/>
  <c r="M22" i="1"/>
  <c r="K22" i="1"/>
  <c r="H22" i="1"/>
  <c r="F22" i="1"/>
  <c r="O20" i="1"/>
  <c r="M20" i="1"/>
  <c r="K20" i="1"/>
  <c r="H20" i="1"/>
  <c r="O19" i="1"/>
  <c r="M19" i="1"/>
  <c r="K19" i="1"/>
  <c r="H19" i="1"/>
  <c r="F19" i="1"/>
  <c r="O18" i="1"/>
  <c r="M18" i="1"/>
  <c r="K18" i="1"/>
  <c r="H18" i="1"/>
  <c r="F18" i="1"/>
  <c r="O17" i="1"/>
  <c r="M17" i="1"/>
  <c r="K17" i="1"/>
  <c r="H17" i="1"/>
  <c r="F17" i="1"/>
  <c r="O16" i="1"/>
  <c r="M16" i="1"/>
  <c r="K16" i="1"/>
  <c r="H16" i="1"/>
  <c r="F16" i="1"/>
  <c r="O15" i="1"/>
  <c r="M15" i="1"/>
  <c r="K15" i="1"/>
  <c r="H15" i="1"/>
  <c r="F15" i="1"/>
  <c r="O14" i="1"/>
  <c r="M14" i="1"/>
  <c r="K14" i="1"/>
  <c r="H14" i="1"/>
  <c r="O13" i="1"/>
  <c r="M13" i="1"/>
  <c r="K13" i="1"/>
  <c r="H13" i="1"/>
  <c r="F13" i="1"/>
  <c r="O11" i="1"/>
  <c r="M11" i="1"/>
  <c r="K11" i="1"/>
  <c r="H11" i="1"/>
  <c r="F11" i="1"/>
  <c r="O10" i="1"/>
  <c r="M10" i="1"/>
  <c r="K10" i="1"/>
  <c r="H10" i="1"/>
  <c r="F10" i="1"/>
  <c r="K9" i="1"/>
  <c r="H9" i="1"/>
  <c r="K8" i="1"/>
  <c r="H8" i="1"/>
  <c r="O7" i="1"/>
  <c r="M7" i="1"/>
  <c r="K7" i="1"/>
  <c r="H7" i="1"/>
  <c r="F7" i="1"/>
  <c r="O6" i="1"/>
  <c r="M6" i="1"/>
  <c r="K6" i="1"/>
  <c r="H6" i="1"/>
  <c r="F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00000000-0006-0000-0000-000001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</t>
        </r>
        <r>
          <rPr>
            <b/>
            <sz val="9"/>
            <rFont val="宋体"/>
            <charset val="134"/>
          </rPr>
          <t>格式：</t>
        </r>
        <r>
          <rPr>
            <sz val="9"/>
            <rFont val="宋体"/>
            <charset val="134"/>
          </rPr>
          <t xml:space="preserve">
密室ID+房间ID+事件顺序ID
</t>
        </r>
        <r>
          <rPr>
            <b/>
            <sz val="9"/>
            <rFont val="宋体"/>
            <charset val="134"/>
          </rPr>
          <t>特殊：</t>
        </r>
        <r>
          <rPr>
            <sz val="9"/>
            <rFont val="宋体"/>
            <charset val="134"/>
          </rPr>
          <t xml:space="preserve">
00后缀一般作为初始化所用
主线顺序正序，支线顺序倒序</t>
        </r>
      </text>
    </comment>
    <comment ref="C3" authorId="0" shapeId="0" xr:uid="{00000000-0006-0000-0000-000002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填了则取clue表ID
并且会在任务列表中显示
不填则仅为通信</t>
        </r>
      </text>
    </comment>
    <comment ref="D3" authorId="0" shapeId="0" xr:uid="{00000000-0006-0000-0000-000003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黄色的为条件</t>
        </r>
      </text>
    </comment>
    <comment ref="G3" authorId="0" shapeId="0" xr:uid="{00000000-0006-0000-0000-000004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橙色的为过程</t>
        </r>
      </text>
    </comment>
    <comment ref="I3" authorId="0" shapeId="0" xr:uid="{00000000-0006-0000-0000-000005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橙色的为过程</t>
        </r>
      </text>
    </comment>
    <comment ref="J3" authorId="0" shapeId="0" xr:uid="{00000000-0006-0000-0000-000006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绿色的为结果
如果场景没有道具则先生成</t>
        </r>
      </text>
    </comment>
    <comment ref="L3" authorId="0" shapeId="0" xr:uid="{00000000-0006-0000-0000-000007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绿色的为结果
如果场景没有道具则先生成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00000000-0006-0000-0200-000001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</t>
        </r>
        <r>
          <rPr>
            <b/>
            <sz val="9"/>
            <rFont val="宋体"/>
            <charset val="134"/>
          </rPr>
          <t>格式：</t>
        </r>
        <r>
          <rPr>
            <sz val="9"/>
            <rFont val="宋体"/>
            <charset val="134"/>
          </rPr>
          <t xml:space="preserve">
密室ID+房间ID+事件顺序ID
</t>
        </r>
        <r>
          <rPr>
            <b/>
            <sz val="9"/>
            <rFont val="宋体"/>
            <charset val="134"/>
          </rPr>
          <t>特殊：</t>
        </r>
        <r>
          <rPr>
            <sz val="9"/>
            <rFont val="宋体"/>
            <charset val="134"/>
          </rPr>
          <t xml:space="preserve">
00后缀一般作为初始化所用
主线顺序正序，支线顺序倒序</t>
        </r>
      </text>
    </comment>
    <comment ref="C3" authorId="0" shapeId="0" xr:uid="{00000000-0006-0000-0200-000002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填了则取clue表ID
并且会在任务列表中显示
不填则仅为通信</t>
        </r>
      </text>
    </comment>
    <comment ref="D3" authorId="0" shapeId="0" xr:uid="{00000000-0006-0000-0200-000003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黄色的为条件</t>
        </r>
      </text>
    </comment>
    <comment ref="G3" authorId="0" shapeId="0" xr:uid="{00000000-0006-0000-0200-000004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橙色的为过程</t>
        </r>
      </text>
    </comment>
    <comment ref="I3" authorId="0" shapeId="0" xr:uid="{00000000-0006-0000-0200-000005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橙色的为过程</t>
        </r>
      </text>
    </comment>
    <comment ref="J3" authorId="0" shapeId="0" xr:uid="{00000000-0006-0000-0200-000006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绿色的为结果
如果场景没有道具则先生成</t>
        </r>
      </text>
    </comment>
    <comment ref="L3" authorId="0" shapeId="0" xr:uid="{00000000-0006-0000-0200-000007000000}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绿色的为结果
如果场景没有道具则先生成</t>
        </r>
      </text>
    </comment>
  </commentList>
</comments>
</file>

<file path=xl/sharedStrings.xml><?xml version="1.0" encoding="utf-8"?>
<sst xmlns="http://schemas.openxmlformats.org/spreadsheetml/2006/main" count="2060" uniqueCount="1102">
  <si>
    <t>id</t>
  </si>
  <si>
    <t>guide</t>
  </si>
  <si>
    <t>qianzhi_task</t>
  </si>
  <si>
    <t>qianzhi_item</t>
  </si>
  <si>
    <t>task</t>
  </si>
  <si>
    <t>get</t>
  </si>
  <si>
    <t>reward_item</t>
  </si>
  <si>
    <t>timer_item</t>
  </si>
  <si>
    <t>del</t>
  </si>
  <si>
    <t>reward_task</t>
  </si>
  <si>
    <t>reward_item_handprop</t>
  </si>
  <si>
    <t>ID</t>
  </si>
  <si>
    <t>备注</t>
  </si>
  <si>
    <t>任务指引ID</t>
  </si>
  <si>
    <t>前置任务ID</t>
  </si>
  <si>
    <t>前置物品状态（物品，状态）</t>
  </si>
  <si>
    <t>前置物品状态</t>
  </si>
  <si>
    <t>事件目标
（物品，状态）</t>
  </si>
  <si>
    <t>目标事件</t>
  </si>
  <si>
    <t>事件目标
拿起物品
（物品）</t>
  </si>
  <si>
    <t>改变物品规则（物品，状态，延迟时间（客户端表现延迟，状态已经变了））</t>
  </si>
  <si>
    <t>结果事件
客户端</t>
  </si>
  <si>
    <t>改变物品规则（物品，状态，延迟时间（道具状态延迟））</t>
  </si>
  <si>
    <t>结果事件
服务器</t>
  </si>
  <si>
    <t>删除物品</t>
  </si>
  <si>
    <t>后置任务ID（尽量不用）</t>
  </si>
  <si>
    <t>处理道具拾取属性</t>
  </si>
  <si>
    <t>all</t>
  </si>
  <si>
    <t>int</t>
  </si>
  <si>
    <t>arr:int</t>
  </si>
  <si>
    <t>arr:[id:int,state:int]</t>
  </si>
  <si>
    <t>arr:[id:int,state:int,delay:int]</t>
  </si>
  <si>
    <t>arr:[id:int,handprop:int]</t>
  </si>
  <si>
    <t>测试初始化</t>
  </si>
  <si>
    <t>[999999,1]</t>
  </si>
  <si>
    <t>[3010,0,0];[3015,0,0];[3020,0,0];[3025,0,0];[3035,0,0];[3041,0,0];[3050,0,0];[3065,0,0];[3075,0,0];[3080,0,0];[3085,0,0];[3100,0,0];[3105,1,0];[3110,0,0];[3115,0,0];[3125,0,0];[3130,0,0];[3135,1,0];[3140,0,0];[3145,0,0];[3150,0,0];[3151,0,0];[3155,0,0];[3160,0,0];[3161,0,0];[3165,1,0];[3170,0,0];[3175,0,0];[3176,1,0];[3177,0,0];[3180,0,0];[3190,0,0];[3191,0,0];[3192,0,0];[3193,0,0];[3194,0,0];[3195,-1,0];[3196,0,0];[3197,0,0];[3198,0,0];[3199,0,0];[3200,0,0];[3210,0,0];[3215,0,0];[3220,0,0];[3225,0,0];[3230,0,0];[3245,0,0];[3255,0,0];[3260,0,0];[3265,0,0];[3270,0,0];[3275,0,0];[3280,0,0];[3285,0,0];[3290,0,0];[3295,0,0];[3300,0,0];[3305,0,0];[3310,0,0];[3315,0,0];[3320,0,0];[3325,1,0];[3326,0,0];[3328,1,0];[3329,1,0];[3335,0,0];[3340,0,0];[3345,0,0];[3380,0,0];[3384,0,0];[3385,0,0];[3390,0,0];[3391,0,0];[3392,0,0];[3395,0,0];[3400,0,0];[3405,0,0];[3430,0,0];[3445,0,0];[3450,0,0];[3455,0,0];[3460,0,0];[3465,1,0];[3470,0,0];[3475,0,0];[3480,0,0];[3490,0,0];[1010,1,0];[1015,3,0];[1020,2,0];[1025,0,0];[1030,0,0];[1035,0,0];[1045,0,0];[1050,0,0];[1051,0,0];[1052,0,0];[1055,0,0];[1061,0,0];[1065,0,0];[1066,0,0];[1085,0,0];[1090,1,0];[1100,1,0];[1105,0,0];[1110,0,0];[1115,0,0];[1120,0,0];[1125,0,0];[1130,0,0];[1200,0,0];[2010,2,0];[2015,2,0];[2020,0,0];[2025,0,0];[2030,2,0];[2035,0,0];[2040,2,0];[2045,2,0];[2050,0,0];[2055,2,0];[2061,0,0];[2065,0,0];[2066,0,0];[2070,0,0];[2075,0,0];[2080,1,0];[2076,0,0];[2081,1,0];[2077,0,0];[2082,0,0];[2078,0,0];[2083,1,0];[2079,0,0];[2084,1,0];[2086,0,0];[2087,1,0];[2085,0,0];[2090,0,0];[2091,0,0];[2092,0,0];[2093,0,0];[2094,0,0];[2130,0,0];[2135,0,0];[2136,0,0];[2137,0,0];[2140,0,0];[2145,0,0];[2150,1,0];[2200,0,0];[2205,0,0];[2210,0,0];[2215,0,0];[2220,0,0];[2300,0,0];[2305,0,0];[2310,0,0];[4010,0,0];[4014,0,0];[4015,0,0];[4020,0,0];[4025,0,0];[4028,0,0];[4029,0,0];[4035,0,0];[4040,0,0];[4045,0,0];[4049,0,0];[4050,0,0];[4051,-1,0];[4052,-1,0];[4053,-1,0];[4055,0,0];[4056,-1,0];[4057,0,0];[4058,-1,0];[4059,-1,0];[4063,0,0];[4060,0,0];[4061,0,0];[4064,0,0];[4065,0,0];[4080,-1,0];[4090,0,0];[4095,0,0];[4096,0,0];[4098,0,0];[4105,0,0];[4106,0,0];[4115,0,0];[4120,0,0];[4121,0,0];[4125,0,0];[4130,0,0];[4131,0,0];[4135,0,0];[4140,0,0];[4145,0,0];[4150,0,0];[4155,0,0];[4160,0,0];[4165,0,0];[4170,0,0];[4175,0,0];[4180,-1,0];[4181,0,0];[4230,0,0];[4235,-1,0];[4236,0,0];[4237,-1,0];[4240,-1,0];[4245,-1,0];[4250,-1,0];[4255,-1,0];[4260,-1,0];[4261,0,0];[4262,0,0];[4263,0,0];[4264,0,0];[4265,0,0];[4266,0,0];[4267,0,0];[4268,0,0];[4269,0,0];[4270,-1,0];[4271,0,0];[4272,0,0];[4275,0,0];[4280,-1,0];[4285,-1,0];[4290,-1,0];[4295,-1,0];[4296,0,0];[4297,0,0];[4298,0,0];[4300,-1,0];[4301,-1,0];[4302,-1,0];[4303,0,0];[4304,0,0];[4307,0,0];[4308,0,0];[4305,-1,0];[4306,-1,0];[4310,0,0];[4315,-1,0];[4320,-1,0];[4325,-1,0];[4330,-1,0];[4335,0,0];[4340,0,0];[4345,0,0];[4350,0,0];[4355,0,0];[4360,1,0];[4370,0,0];[4385,0,0];[4390,0,0];[4395,0,0];[4400,0,0];[4405,0,0];[4410,0,0];[4415,0,0];[4420,0,0];[4425,0,0];[4430,0,0];[4435,0,0];[4440,0,0];[4445,0,0];[4500,0,0];[4505,0,0];[4510,0,0];[4515,0,0];[4600,0,0];[4601,0,0];[4605,0,0];[4606,0,0];[4610,0,0];[4611,0,0];[4615,0,0];[4616,0,0];[4620,0,0];[4621,0,0];[4624,0,0];[4626,0,0];[4631,0,0];[4635,0,0];[4636,0,0];[4640,0,0];[4645,0,0];[5025,0,0];[5030,0,0];[5035,0,0];[5040,0,0];[5045,0,0];[5050,0,0];[5055,0,0];[5060,0,0];[5065,0,0];[5070,0,0];[5075,0,0];[5080,0,0];[5115,0,0];[5140,0,0];[5170,0,0];[5175,0,0];[5180,0,0];[5185,0,0];[5190,0,0];[5195,0,0];[5200,0,0];[5205,0,0];[5210,0,0];[5215,0,0];[5220,0,0];[5230,0,0];[5235,0,0];[5300,0,0];[5305,0,0];[5310,0,0];[5315,0,0];[5320,0,0];[5325,0,0];[5330,0,0];[5335,0,0];[5340,0,0];[5345,0,0];[5350,0,0];[5355,0,0];[5360,0,0];[5361,0,0];[5365,0,0];[5390,0,0];[5391,0,0];[5392,0,0];[5400,0,0];[5410,0,0];[5500,0,0];[5505,0,0];[5510,0,0];[5515,0,0];[5520,0,0];[5525,0,0];[6095,0,0];[6100,0,0];[6105,0,0];[6110,0,0];[6115,0,0];[6120,0,0];[6125,0,0];[6130,0,0];[7001,0,0];[9000,0,0];[9985,0,0];[9997,0,0];[9998,0,0];[9999,0,0]</t>
  </si>
  <si>
    <t>初始化</t>
  </si>
  <si>
    <t>[3199,0,0];[3325,1,0];[3327,0,0];[3328,1,0];[3329,1,0];[1010,1,0];[1015,3,0];[1020,2,0];[1025,0,0];[1030,0,0];[1035,0,0];[1045,0,0];[1050,0,0];[1051,0,0];[1085,0,0];[1090,1,0];[1105,0,0];[1110,0,0];[1115,0,0];[1120,0,0];[1125,0,0];[1130,0,0];[1200,0,0];[2061,0,0];[2075,0,0];[2080,1,0];[2076,0,0];[2081,1,0];[2077,0,0];[2082,0,0];[2078,0,0];[2083,1,0];[2079,0,0];[2084,1,0];[2086,0,0];[2087,1,0];[2091,0,0];[2092,0,0];[2093,0,0];[2094,0,0];[2130,0,0];[2135,0,0];[2136,0,0];[2137,0,0];[2140,0,0];[2145,0,0];[2150,1,0];[2200,0,0];[2205,0,0];[2210,0,0];[2215,0,0];[2220,0,0];[2300,0,0];[2305,0,0];[2310,0,0];[4180,-1,0];[4235,-1,0];[4300,-1,0];[4301,-1,0];[4302,-1,0];[5025,0,0];[5035,0,0];[5040,0,0];[5045,0,0];[5055,0,0];[5065,0,0];[5070,0,0];[5075,0,0];[5080,0,0];[5300,0,0];[5305,0,0];[5310,0,0];[5315,0,0];[5320,0,0];[5361,0,0];[5400,0,0];[5410,0,0];[5500,0,0];[5505,0,0];[5510,0,0];[5515,0,0];[5520,0,0];[5525,0,0];[6100,0,0];[6105,0,0];[6110,0,0];[6115,0,0];[6120,0,0];[6125,0,0];[6130,0,0];[7001,0,0];[9000,0,0];[9985,0,0];[9997,0,0];[9998,0,0];[9999,0,0]</t>
  </si>
  <si>
    <t>剧情触发</t>
  </si>
  <si>
    <t>[1130,1]</t>
  </si>
  <si>
    <t>[1125,1,0]</t>
  </si>
  <si>
    <t>开门触发男NPC状态5</t>
  </si>
  <si>
    <t>[1025,1]</t>
  </si>
  <si>
    <t>[1090,0,0];[2300,1,30000];[2305,1,30000]</t>
  </si>
  <si>
    <t>男NPC状态5触发</t>
  </si>
  <si>
    <t>[1125,5]</t>
  </si>
  <si>
    <t>[4010,0,0];[4014,0,0];[4015,0,0];[4020,0,0];[4025,0,0];[4029,0,0];[4050,0,0];[4051,-1,0];[4052,-1,0];[4053,-1,0];[4056,-1,0];[4057,0,0];[4058,-1,0];[4059,-1,0];[4060,0,0];[4061,0,0];[4064,0,0];[4065,0,0];[4080,-1,0];[4095,0,0];[4098,0,0];[4096,0,0];[4105,0,0];[4106,0,0];[4170,0,0];[4175,0,0];[4180,-1,0];[4302,-1,0];[4308,0,0];[4305,-1,0];[4306,-1,0];[4310,0,0];[5025,1,0];[4600,0,0];[4601,0,0];[4605,0,0];[4606,0,0];[4610,0,0];[4611,0,0];[4615,0,0];[4616,0,0];[4620,0,0];[4621,0,0];[3490,0,0];[4262,0,0];[4263,0,0];[2090,0,0];[2010,2,0];[2015,2,0];[2020,0,0];[2025,0,0];[2030,2,0];[2035,0,0];[2040,2,0];[2045,2,0];[2050,0,0];[2055,2,0];[2070,0,0];[5365,0,0];[2065,0,0];[2066,0,0];[2310,0,0];[4028,0,0];[4049,0,0]</t>
  </si>
  <si>
    <t>触发电视</t>
  </si>
  <si>
    <t>[1034,1]</t>
  </si>
  <si>
    <t>[1035,1,0]</t>
  </si>
  <si>
    <t>[1035,2,24000]</t>
  </si>
  <si>
    <t>铁门黄婆婆演绎</t>
  </si>
  <si>
    <t>[2310,1]</t>
  </si>
  <si>
    <t>[4028,1,0]</t>
  </si>
  <si>
    <t>触发女鬼抱娃</t>
  </si>
  <si>
    <t>[2070,1]</t>
  </si>
  <si>
    <t>[2136,1,0]</t>
  </si>
  <si>
    <t>[2130,2,22000]</t>
  </si>
  <si>
    <t>蝙蝠扑脸</t>
  </si>
  <si>
    <t>[2210,1]</t>
  </si>
  <si>
    <t>[2220,1,500]</t>
  </si>
  <si>
    <t>信报箱密码锁</t>
  </si>
  <si>
    <t>[2092,9];[2093,5];[2094,8]</t>
  </si>
  <si>
    <t>[3010,0,0];[3015,0,0];[3041,0,0];[2082,1,1000];[4315,-1,0];[4320,-1,0];[4325,-1,0];[4330,-1,0];[4355,0,0];[4360,1,0];[4370,0,0];[4385,0,0];[4390,0,0];[4395,0,0];[4400,0,0];[4405,0,0];[4410,0,0];[4415,0,0];[4420,0,0];[4425,-1,0];[4430,-1,0];[4435,-1,0];[4440,-1,0];[4445,-1,0];[4500,1,0];[4505,1,0];[4510,1,0];[4515,1,0];[4631,0,0];[4635,0,0];[4640,0,0];[5170,0,0];[5180,0,0];[5205,0,0];[5210,0,0];[5215,0,0];[5230,0,0];[5235,0,0];[5030,0,0];[5060,0,0];[4029,0,0];[4235,-1,0];[4236,0,0];[4237,-1,0];[4240,-1,0];[4245,-1,0];[4250,-1,0];[4255,-1,0];[4260,-1,0];[4261,0,0];[4264,0,0];[2085,0,0];[4636,0,0];[4115,0,0];[4624,0,0];[4626,1,0];[4049,-2,0]</t>
  </si>
  <si>
    <t>拍球触发</t>
  </si>
  <si>
    <t>[5030,1]</t>
  </si>
  <si>
    <t>[5035,1,0];[1025,1,0]</t>
  </si>
  <si>
    <t>乌鸦触发</t>
  </si>
  <si>
    <t>[5040,1]</t>
  </si>
  <si>
    <t>[5045,1,0]</t>
  </si>
  <si>
    <t>小女孩触发</t>
  </si>
  <si>
    <t>[5050,1]</t>
  </si>
  <si>
    <t>[5055,1,0]</t>
  </si>
  <si>
    <t>开门触发</t>
  </si>
  <si>
    <t>[5060,1]</t>
  </si>
  <si>
    <t>[5065,1,0];[2300,0,0];[2305,0,0]</t>
  </si>
  <si>
    <t>鬼脸吓人</t>
  </si>
  <si>
    <t>[5210,1]</t>
  </si>
  <si>
    <t>[5205,1,500]</t>
  </si>
  <si>
    <t>五仙台门帘</t>
  </si>
  <si>
    <t>[4624,1]</t>
  </si>
  <si>
    <t>[4626,0,0]</t>
  </si>
  <si>
    <t>触发剧情开始</t>
  </si>
  <si>
    <t>[4014,1]</t>
  </si>
  <si>
    <t>[4010,1,0];[5170,0,0];[5180,0,0];[5215,0,0];[5230,0,0];[5235,0,0];[5390,0,0];[5391,0,0];[5392,0,0];[7001,0,0];[9985,0,0]</t>
  </si>
  <si>
    <t>剧情1结束</t>
  </si>
  <si>
    <t>[4010,2]</t>
  </si>
  <si>
    <t>[4035,0,0];[4040,0,0];[4045,0,0];[4049,0,0];[4029,16,0]</t>
  </si>
  <si>
    <t>出签子</t>
  </si>
  <si>
    <t>[4015,1];[4020,1];[4025,1]</t>
  </si>
  <si>
    <t>[4050,1,0];[4055,0,0];[3020,0,0];[4035,-2,0];[4040,-2,0];[4045,-2,0]</t>
  </si>
  <si>
    <t>4010</t>
  </si>
  <si>
    <t>签筒后黄婆婆说话1</t>
  </si>
  <si>
    <t>[4050,1]</t>
  </si>
  <si>
    <t>[4051,0,0];[4052,0,0];[4053,0,0];[4056,0,0];[4058,0,0];[4059,0,0];[4064,1,0]</t>
  </si>
  <si>
    <t>[4029,1,5000]</t>
  </si>
  <si>
    <t>解签后黄婆婆说话2</t>
  </si>
  <si>
    <t>[4057,1]</t>
  </si>
  <si>
    <t>[5140,0,0];[5175,0,0];[4425,0,0];[4430,0,0];[4435,0,0];[4440,0,0];[4445,0,0]</t>
  </si>
  <si>
    <t>吃苹果</t>
  </si>
  <si>
    <t>[5220,1]</t>
  </si>
  <si>
    <t>[5215,1,0]</t>
  </si>
  <si>
    <t>女鬼撑伞</t>
  </si>
  <si>
    <t>[5175,1]</t>
  </si>
  <si>
    <t>[5170,1,0];[3050,0,0];[3065,0,0];[3075,0,0];[3080,0,0];[3085,0,0];[3100,0,0];[3105,1,0];[3110,0,0];[3115,0,0];[3130,0,0];[3135,1,0];[3140,0,0];[3145,0,0];[3150,0,0];[3151,0,0];[3155,0,0];[3160,0,0];[3161,0,0];[3165,1,0];[3170,0,0];[3175,0,0];[3176,1,0];[3180,0,0];[3190,0,0];[3191,0,0];[3192,0,0];[3193,0,0];[3194,0,0];[3195,-1,0];[3196,0,0];[3197,0,0];[3200,0,0];[3215,0,0];[3220,0,0];[3230,0,0];[3245,0,0];[3255,0,0];[3260,0,0];[3265,0,0];[3270,0,0];[3275,0,0];[3280,0,0];[3285,0,0];[3290,0,0];[3295,0,0];[3300,0,0];[3305,0,0];[3310,0,0];[3315,0,0];[3320,0,0];[3326,0,0];[3380,0,0];[3384,0,0];[3385,0,0];[3390,0,0];[3391,0,0];[3392,0,0];[3395,0,0];[3400,0,0];[3405,0,0];[3465,1,0];[3470,0,0];[3475,0,0];[3480,0,0];[4645,0,0];[3125,0,0]</t>
  </si>
  <si>
    <t>关卫生间门</t>
  </si>
  <si>
    <t>[3020,1]</t>
  </si>
  <si>
    <t>[3010,0,0];[3015,0,0];[3177,0,3000];[4064,0,0]</t>
  </si>
  <si>
    <t>机关开厕所门</t>
  </si>
  <si>
    <t>[4115,1]</t>
  </si>
  <si>
    <t>[3015,1,500];[4063,0,0]</t>
  </si>
  <si>
    <t>5170</t>
  </si>
  <si>
    <t>第一隔间触发</t>
  </si>
  <si>
    <t>[3125,1]</t>
  </si>
  <si>
    <t>[3100,0,0]</t>
  </si>
  <si>
    <t>3125</t>
  </si>
  <si>
    <t>第二隔间挡板第一次被拿起</t>
  </si>
  <si>
    <t>[3151,1]</t>
  </si>
  <si>
    <t>[3175,0,5000]</t>
  </si>
  <si>
    <t>第一次打开第三隔间</t>
  </si>
  <si>
    <t>[3161,1]</t>
  </si>
  <si>
    <t>[3180,1,2000]</t>
  </si>
  <si>
    <t>3161</t>
  </si>
  <si>
    <t>第三隔间触发</t>
  </si>
  <si>
    <t>[3190,1]</t>
  </si>
  <si>
    <t>[3160,0,1000];[3260,1,10000];[3192,1,10000];[3193,1,13000];[3194,1,2500];[3198,1,10000];[3165,0,1000];[3210,0,3000];[3199,1,2000]</t>
  </si>
  <si>
    <t>[3195,0,13000];[3165,1,10000]</t>
  </si>
  <si>
    <t>拉开帘子</t>
  </si>
  <si>
    <t>[3197,1]</t>
  </si>
  <si>
    <t>[3215,1,0];[3198,0,0]</t>
  </si>
  <si>
    <t>帘子触发关闭</t>
  </si>
  <si>
    <t>[3196,1]</t>
  </si>
  <si>
    <t>[3195,0,0]</t>
  </si>
  <si>
    <t>口红第一次被拾取</t>
  </si>
  <si>
    <t>[3326,1]</t>
  </si>
  <si>
    <t>[3260,102,0];[3335,1,0];[3340,1,0];[3345,1,0];[3065,1,0];[3445,0,2000];[3450,0,2000];[3455,0,2000];[3085,0,0]</t>
  </si>
  <si>
    <t>口红放进去后-1</t>
  </si>
  <si>
    <t>[3470,1]</t>
  </si>
  <si>
    <t>[3210,-1,0]</t>
  </si>
  <si>
    <t>粉饼盒放进去后-1</t>
  </si>
  <si>
    <t>[3475,1]</t>
  </si>
  <si>
    <t>[3200,-1,0]</t>
  </si>
  <si>
    <t>化妆箱正确</t>
  </si>
  <si>
    <t>[3470,1];[3475,1]</t>
  </si>
  <si>
    <t>[9985,1,0];[3386,1,3000];[3085,1,3000];[3380,1,4000];[3395,1,10000];[3065,2,11000];[3445,1,11000];[3450,1,11000];[3384,1,11000];[3455,1,11000];[3400,1,11000];[3405,1,11000];[3390,1,18000];[3391,1,19000];[3392,1,11000];[3041,1,14000];[3385,1,8000];[3480,1,21000];[4645,0,0]</t>
  </si>
  <si>
    <t>[3085,103,7000];[3386,0,14000]</t>
  </si>
  <si>
    <t>九宫格成功</t>
  </si>
  <si>
    <t>[3310,1]</t>
  </si>
  <si>
    <t>[3460,1,0];[3265,-1,0];[3270,-1,0];[3275,-1,0];[3280,-1,0];[3285,-1,0];[3290,-1,0];[3295,-1,0];[3300,-1,0];[3305,-1,0]</t>
  </si>
  <si>
    <t>木偶第一次被拾取</t>
  </si>
  <si>
    <t>[3490,1]</t>
  </si>
  <si>
    <t>有追逐
前置为不能完成的道具</t>
  </si>
  <si>
    <t>[3085,0,0];[5050,0,0];[4080,0,0];[5220,0,0];[3480,0,0];[4631,0,0];[4625,0,0];[4630,0,0];[4626,0,0]</t>
  </si>
  <si>
    <t>[4635,1,1000]</t>
  </si>
  <si>
    <t>没有追逐
前置为不能完成的道具</t>
  </si>
  <si>
    <t>[3085,0,0];[6052,0,0];[5050,0,0];[4080,0,0];[5220,0,0];[3480,0,0]</t>
  </si>
  <si>
    <t>[3015,1,5500];[3010,1,6000]</t>
  </si>
  <si>
    <t>[3460,7]</t>
  </si>
  <si>
    <t>女鬼出生后给失败</t>
  </si>
  <si>
    <t>[4635,1]</t>
  </si>
  <si>
    <t>[4631,-2,0];[4625,0,0];[4630,0,0];[4626,-2,0]</t>
  </si>
  <si>
    <t>40130;40140;40150;40160</t>
  </si>
  <si>
    <t>玩家躲避成功</t>
  </si>
  <si>
    <t>[4635,3]</t>
  </si>
  <si>
    <t>[4626,0,5000];[4631,0,5000];[6052,0,0];[4625,-1,0];[4630,-1,0]</t>
  </si>
  <si>
    <t>强制成功</t>
  </si>
  <si>
    <t>[4626,0,0];[4631,0,0];[6052,0,0];[4625,-1,0];[4630,-1,0];[4601,0,0];[4606,0,0];[4611,0,0];[4616,0,0];[4621,0,0];[4640,0,0];[4635,5,0];[3015,1,0]</t>
  </si>
  <si>
    <t>3次之后的成功</t>
  </si>
  <si>
    <t>[4635,6]</t>
  </si>
  <si>
    <t>玩家躲避失败</t>
  </si>
  <si>
    <t>[4635,4]</t>
  </si>
  <si>
    <t>[3015,0,0];[3010,0,0]</t>
  </si>
  <si>
    <t>五仙台挡板区域触发</t>
  </si>
  <si>
    <t>[4625,1]</t>
  </si>
  <si>
    <t>[4626,1,0]</t>
  </si>
  <si>
    <t>大铁门挡板区域触发</t>
  </si>
  <si>
    <t>[4630,1]</t>
  </si>
  <si>
    <t>[4631,1,0]</t>
  </si>
  <si>
    <t>1柜门轰开</t>
  </si>
  <si>
    <t>[4602,1]</t>
  </si>
  <si>
    <t>[4601,102,0]</t>
  </si>
  <si>
    <t>触发剧情2开始</t>
  </si>
  <si>
    <t>[6052,1]</t>
  </si>
  <si>
    <t>[4029,13,0];[5325,0,25000]</t>
  </si>
  <si>
    <t>[9999,3,25000]</t>
  </si>
  <si>
    <t>婆婆柜门打开</t>
  </si>
  <si>
    <t>[4080,1]</t>
  </si>
  <si>
    <t>[4060,1,0];[4090,0,0]</t>
  </si>
  <si>
    <t>放入木偶后铁笼门可操作</t>
  </si>
  <si>
    <t>[4090,1]</t>
  </si>
  <si>
    <t>[4095,1,500];[4096,1,7000];[4029,3,8000];[4180,1,0];[4235,1,0];[4300,1,0];[4301,1,0];[4302,1,0];[5330,0,0];[5335,0,0];[5340,0,0];[5345,0,0];[5350,0,0];[5355,0,60000];[1085,-2,0];[5370,0,0];[4309,0,0];[4280,1,0];[4285,3,0];[4290,1,0];[4295,2,0];[4264,1,0];[5375,1,0];[5380,1,0];[5385,1,0];[4098,1,0];[5410,1,9000];[4121,0,0];[4131,0,0];[4145,0,0];[4150,0,0];[4155,0,0];[4160,0,0];[4165,0,0];[4181,0,0];[4230,0,0];[4265,0,0];[4266,0,0];[4267,0,0];[4268,0,0];[4269,0,0];[4270,-1,0];[4271,0,0];[4272,0,0];[4275,0,0];[4298,0,0];[4303,0,0];[4304,0,0];[4307,0,0];[1052,0,0];[1055,0,0];[1061,0,0];[1065,0,0];[1066,0,0];[3260,1,0];[5400,1,9000];[1100,0,0]</t>
  </si>
  <si>
    <t>电表激活</t>
  </si>
  <si>
    <t>[4236,1]</t>
  </si>
  <si>
    <t>[4240,4,0];[4245,3,0];[4250,2,0];[4255,1,0];[4260,0,0];[4237,1,500];[4262,1,4000];[4263,1,4000]</t>
  </si>
  <si>
    <t>[4237,-2,3000];[4235,-2,1500]</t>
  </si>
  <si>
    <t>106激活</t>
  </si>
  <si>
    <t>[4181,1]</t>
  </si>
  <si>
    <t>[4175,1,1000]</t>
  </si>
  <si>
    <t>[4180,-2,1500]</t>
  </si>
  <si>
    <t>华容道成功</t>
  </si>
  <si>
    <t>[4230,1]</t>
  </si>
  <si>
    <t>[4130,0,0]</t>
  </si>
  <si>
    <t>柜子激活</t>
  </si>
  <si>
    <t>[4304,1]</t>
  </si>
  <si>
    <t>[1045,1,1000];[1055,1,1000];[4120,0,0]</t>
  </si>
  <si>
    <t>[4301,-2,1500]</t>
  </si>
  <si>
    <t>女厕激活</t>
  </si>
  <si>
    <t>[4307,1]</t>
  </si>
  <si>
    <t>[4308,1,1000];[4135,0,0]</t>
  </si>
  <si>
    <t>[4302,-2,1500]</t>
  </si>
  <si>
    <t>女鬼爬区域激活</t>
  </si>
  <si>
    <t>[4131,1]</t>
  </si>
  <si>
    <t>[5185,0,0]</t>
  </si>
  <si>
    <t>水壶滚落</t>
  </si>
  <si>
    <t>[5370,1]</t>
  </si>
  <si>
    <t>[5365,1,0]</t>
  </si>
  <si>
    <t>109和棺材激活</t>
  </si>
  <si>
    <t>[4303,1]</t>
  </si>
  <si>
    <t>[4296,0,0];[4297,0,0];[4385,1,0]</t>
  </si>
  <si>
    <t>[4300,-2,1500]</t>
  </si>
  <si>
    <t>第一次扭动棺材锁芯</t>
  </si>
  <si>
    <t>[4296,1]</t>
  </si>
  <si>
    <t>[4298,1,0]</t>
  </si>
  <si>
    <t>密码锁任意三位正确</t>
  </si>
  <si>
    <t>[4297,1]</t>
  </si>
  <si>
    <t>[4275,100,0];[4298,2,0]</t>
  </si>
  <si>
    <t>触发棺材震动声</t>
  </si>
  <si>
    <t>[4266,1]</t>
  </si>
  <si>
    <t>[4267,1,0]</t>
  </si>
  <si>
    <t>触发棺材哭声</t>
  </si>
  <si>
    <t>[4272,1]</t>
  </si>
  <si>
    <t>[4268,1,0]</t>
  </si>
  <si>
    <t>触发棺材笑声</t>
  </si>
  <si>
    <t>[4271,1]</t>
  </si>
  <si>
    <t>[4269,1,0]</t>
  </si>
  <si>
    <t>触发浴室灯关闭</t>
  </si>
  <si>
    <t>[4135,1]</t>
  </si>
  <si>
    <t>[3260,0,0]</t>
  </si>
  <si>
    <t>半人女鬼吓人2</t>
  </si>
  <si>
    <t>[5185,1]</t>
  </si>
  <si>
    <t>[5180,1,0]</t>
  </si>
  <si>
    <t>血脚印事件触发</t>
  </si>
  <si>
    <t>[4121,1]</t>
  </si>
  <si>
    <t>[1061,1,0]</t>
  </si>
  <si>
    <t>电表谜题完成</t>
  </si>
  <si>
    <t>[4240,3];[4245,1];[4250,0];[4255,2];[4260,4]</t>
  </si>
  <si>
    <t>[4261,1,1000];[4125,0,0]</t>
  </si>
  <si>
    <t>棺材谜题完成</t>
  </si>
  <si>
    <t>[4280,4];[4285,0];[4290,2];[4295,1]</t>
  </si>
  <si>
    <t>[4298,0,0];[1066,1,0];[4270,1,2000];[4140,0,2500]</t>
  </si>
  <si>
    <t>[4275,1,500]</t>
  </si>
  <si>
    <t>五仙头1</t>
  </si>
  <si>
    <t>[4145,1]</t>
  </si>
  <si>
    <t>[4029,7,1000]</t>
  </si>
  <si>
    <t>五仙头2</t>
  </si>
  <si>
    <t>[4150,1]</t>
  </si>
  <si>
    <t>[4029,8,1000]</t>
  </si>
  <si>
    <t>五仙头3</t>
  </si>
  <si>
    <t>[4155,1]</t>
  </si>
  <si>
    <t>[4029,9,1000]</t>
  </si>
  <si>
    <t>五仙头4</t>
  </si>
  <si>
    <t>[4160,1]</t>
  </si>
  <si>
    <t>[4029,10,1000]</t>
  </si>
  <si>
    <t>五仙头5</t>
  </si>
  <si>
    <t>[4165,1]</t>
  </si>
  <si>
    <t>[4029,11,1000]</t>
  </si>
  <si>
    <t>五仙头放入成功，五仙头失效</t>
  </si>
  <si>
    <t>[4145,1];[4150,1];[4155,1];[4160,1];[4165,1]</t>
  </si>
  <si>
    <t>[4120,-1,0];[4125,-1,0];[4130,-1,0];[4135,-1,0];[4140,-1,0];[4309,1,5600];[6004,0,0];[4425,1,1000];[4268,-2,0];[4269,-2,0]</t>
  </si>
  <si>
    <t>[4029,14,15000];[9999,4,42000]</t>
  </si>
  <si>
    <t>剧情3结束</t>
  </si>
  <si>
    <t>[4029,14]</t>
  </si>
  <si>
    <t>[4315,0,0];[4320,0,0];[4325,0,0];[4330,0,0];[4335,0,0];[4340,0,0];[4350,0,0];[5360,0,0];[5195,0,0];[4395,-2,0]</t>
  </si>
  <si>
    <t>女鬼冲出飞鸡出现</t>
  </si>
  <si>
    <t>[5195,1]</t>
  </si>
  <si>
    <t>[5190,1,0]</t>
  </si>
  <si>
    <t>103通道感应</t>
  </si>
  <si>
    <t>[4315,1];[4320,1];[4325,1];[4330,1]</t>
  </si>
  <si>
    <t>[4310,1,0];[6004,1,1000];[4305,1,7000];[4306,1,7000];[6125,0,0]</t>
  </si>
  <si>
    <t>戏院人准备</t>
  </si>
  <si>
    <t>[6125,1]</t>
  </si>
  <si>
    <t>[6120,5,0]</t>
  </si>
  <si>
    <t>6004</t>
  </si>
  <si>
    <t>开始结束演绎</t>
  </si>
  <si>
    <t>[4355,1]</t>
  </si>
  <si>
    <t>[3325,0,0];[3328,0,0];[3329,0,0];[2150,0,0]</t>
  </si>
  <si>
    <t>[6120,1,4000];[3325,-2,4000];[3328,-2,4000];[3329,-2,4000];[2150,-2,4000]</t>
  </si>
  <si>
    <t>4029</t>
  </si>
  <si>
    <t>游戏结束</t>
  </si>
  <si>
    <t>[7001,1]</t>
  </si>
  <si>
    <t>[9000,1,0]</t>
  </si>
  <si>
    <t>[9997,1,10000]</t>
  </si>
  <si>
    <t>打开出生点门-尝试进入楼内</t>
  </si>
  <si>
    <t>[5300,1]</t>
  </si>
  <si>
    <t>[1030,1]</t>
  </si>
  <si>
    <t>去打开大门-尝试打开大门寻找生还之人</t>
  </si>
  <si>
    <t>[2130,2]</t>
  </si>
  <si>
    <t>占卜女鬼住处-占卜戏鬼所在位置</t>
  </si>
  <si>
    <t>[9999,1]</t>
  </si>
  <si>
    <t>[4029,2]</t>
  </si>
  <si>
    <t>前往女厕寻找戏鬼木偶并带回</t>
  </si>
  <si>
    <t>[9999,2]</t>
  </si>
  <si>
    <t>[4029,13]</t>
  </si>
  <si>
    <t>将木偶放入铁笼</t>
  </si>
  <si>
    <t>[9999,3]</t>
  </si>
  <si>
    <t>[4095,1]</t>
  </si>
  <si>
    <t>寻找五仙</t>
  </si>
  <si>
    <t>[4096,1]</t>
  </si>
  <si>
    <t>前往女厕对面103</t>
  </si>
  <si>
    <t>[9999,4]</t>
  </si>
  <si>
    <t>[6004,1]</t>
  </si>
  <si>
    <t>戏台</t>
  </si>
  <si>
    <t>[6120,1]</t>
  </si>
  <si>
    <t>副本完成（服务器）
服务器关闭后会延迟1min踢人</t>
  </si>
  <si>
    <t>[9997,1]</t>
  </si>
  <si>
    <t>副本开始（打点）</t>
  </si>
  <si>
    <t>[9995,1,1000]</t>
  </si>
  <si>
    <t>卫生间门</t>
  </si>
  <si>
    <t>卫生间门外门把手</t>
  </si>
  <si>
    <t>卫生间门内门把手</t>
  </si>
  <si>
    <t>卫生间门锁</t>
  </si>
  <si>
    <t>关卫生间门触发区域</t>
  </si>
  <si>
    <t>第三隔间冲水触发区域</t>
  </si>
  <si>
    <t>隔间灯开关</t>
  </si>
  <si>
    <t>白裙子</t>
  </si>
  <si>
    <t>纸箱1</t>
  </si>
  <si>
    <t>机关墙</t>
  </si>
  <si>
    <t>纸箱2</t>
  </si>
  <si>
    <t>纸箱3</t>
  </si>
  <si>
    <t>纸箱4</t>
  </si>
  <si>
    <t>纸箱5</t>
  </si>
  <si>
    <t>高跟鞋区域左</t>
  </si>
  <si>
    <t>高跟鞋区域右</t>
  </si>
  <si>
    <t>女人海报</t>
  </si>
  <si>
    <t>水龙头1</t>
  </si>
  <si>
    <t>水龙头2</t>
  </si>
  <si>
    <t>镜子灯开关</t>
  </si>
  <si>
    <t>隔间门1</t>
  </si>
  <si>
    <t>隔间门1外门把手</t>
  </si>
  <si>
    <t>隔间门1内门把手</t>
  </si>
  <si>
    <t>隔间门1锁</t>
  </si>
  <si>
    <t>马桶1盖子</t>
  </si>
  <si>
    <t>马桶1冲水扳手位置</t>
  </si>
  <si>
    <t>高跟鞋左</t>
  </si>
  <si>
    <t>隔间门1触发区域</t>
  </si>
  <si>
    <t>隔间门2</t>
  </si>
  <si>
    <t>隔间门2外门把手</t>
  </si>
  <si>
    <t>隔间门2内门把手</t>
  </si>
  <si>
    <t>隔间门2锁</t>
  </si>
  <si>
    <t>马桶2盖子</t>
  </si>
  <si>
    <t>马桶2冲水扳手位置</t>
  </si>
  <si>
    <t>挡板</t>
  </si>
  <si>
    <t>挡板第一次被拿起</t>
  </si>
  <si>
    <t>化妆刷</t>
  </si>
  <si>
    <t>隔间门3</t>
  </si>
  <si>
    <t>隔间门3外门把手</t>
  </si>
  <si>
    <t>隔间门3内门把手</t>
  </si>
  <si>
    <t>第一次打开隔间3</t>
  </si>
  <si>
    <t>隔间门3锁</t>
  </si>
  <si>
    <t>马桶3盖子</t>
  </si>
  <si>
    <t>马桶3冲水扳手位置</t>
  </si>
  <si>
    <t>马桶3螺母</t>
  </si>
  <si>
    <t>马桶3冲水大声</t>
  </si>
  <si>
    <t>垃圾桶3</t>
  </si>
  <si>
    <t>高跟鞋右断根</t>
  </si>
  <si>
    <t>隔间门3触发区域</t>
  </si>
  <si>
    <t>隔间门3指甲划痕</t>
  </si>
  <si>
    <t>隔间门3外面海报</t>
  </si>
  <si>
    <t>浴室警戒线</t>
  </si>
  <si>
    <t>高跟鞋走路</t>
  </si>
  <si>
    <t>浴室帘子</t>
  </si>
  <si>
    <t>浴室帘子触发关闭区域</t>
  </si>
  <si>
    <t>第一次拉开帘子</t>
  </si>
  <si>
    <t>帘子影子</t>
  </si>
  <si>
    <t>男NPC尸体</t>
  </si>
  <si>
    <t>粉饼盒</t>
  </si>
  <si>
    <t>化妆品盒子2</t>
  </si>
  <si>
    <t>口红</t>
  </si>
  <si>
    <t>拖把</t>
  </si>
  <si>
    <t>橡皮玩具</t>
  </si>
  <si>
    <t>铜铃</t>
  </si>
  <si>
    <t>铜铃摇晃次数</t>
  </si>
  <si>
    <t>水瓢</t>
  </si>
  <si>
    <t>架子</t>
  </si>
  <si>
    <t>册子</t>
  </si>
  <si>
    <t>淋浴扳手</t>
  </si>
  <si>
    <t>暖气片塞子位置</t>
  </si>
  <si>
    <t>暖气片塞子</t>
  </si>
  <si>
    <t>浴室灯</t>
  </si>
  <si>
    <t>九宫格1</t>
  </si>
  <si>
    <t>九宫格2</t>
  </si>
  <si>
    <t>九宫格3</t>
  </si>
  <si>
    <t>九宫格4</t>
  </si>
  <si>
    <t>九宫格5</t>
  </si>
  <si>
    <t>九宫格6</t>
  </si>
  <si>
    <t>九宫格7</t>
  </si>
  <si>
    <t>九宫格8</t>
  </si>
  <si>
    <t>九宫格9</t>
  </si>
  <si>
    <t>九宫格失败</t>
  </si>
  <si>
    <t>暗格</t>
  </si>
  <si>
    <t>手电</t>
  </si>
  <si>
    <t>口红第一次拾取事件</t>
  </si>
  <si>
    <t>手电2</t>
  </si>
  <si>
    <t>手电3</t>
  </si>
  <si>
    <t>手电4</t>
  </si>
  <si>
    <t>鞋跟</t>
  </si>
  <si>
    <t>镜子边文字1</t>
  </si>
  <si>
    <t>镜子边文字2</t>
  </si>
  <si>
    <t>镜子边文字3</t>
  </si>
  <si>
    <t>箱子后面的通告</t>
  </si>
  <si>
    <t>箱子内纸张</t>
  </si>
  <si>
    <t>密码箱</t>
  </si>
  <si>
    <t>箱子锁</t>
  </si>
  <si>
    <t>箱子锁对应图案1</t>
  </si>
  <si>
    <t>箱子锁对应图案2</t>
  </si>
  <si>
    <t>箱子锁对应图案3</t>
  </si>
  <si>
    <t>镜子文字1</t>
  </si>
  <si>
    <t>女鬼穿墙</t>
  </si>
  <si>
    <t>女鬼事件</t>
  </si>
  <si>
    <t>心跳声</t>
  </si>
  <si>
    <t>流血事件</t>
  </si>
  <si>
    <t>流血事件2</t>
  </si>
  <si>
    <t>掉血</t>
  </si>
  <si>
    <t>镜子文字2</t>
  </si>
  <si>
    <t>隔间2贡品</t>
  </si>
  <si>
    <t>隔间3贡品</t>
  </si>
  <si>
    <t>卫生间2谜题</t>
  </si>
  <si>
    <t>卫生间3谜题</t>
  </si>
  <si>
    <t>浴室谜题</t>
  </si>
  <si>
    <t>钥匙</t>
  </si>
  <si>
    <t>死人画1</t>
  </si>
  <si>
    <t>死人画2</t>
  </si>
  <si>
    <t>死人画3</t>
  </si>
  <si>
    <t>女人木偶</t>
  </si>
  <si>
    <t>化妆盒</t>
  </si>
  <si>
    <t>口红判定</t>
  </si>
  <si>
    <t>粉饼盒判定</t>
  </si>
  <si>
    <t>谜题灯</t>
  </si>
  <si>
    <t>女鬼声音</t>
  </si>
  <si>
    <t>木偶第一次拾取事件</t>
  </si>
  <si>
    <t>马桶冲水扳手物品</t>
  </si>
  <si>
    <t>纸张1</t>
  </si>
  <si>
    <t>纸张2</t>
  </si>
  <si>
    <t>按钮1</t>
  </si>
  <si>
    <t>按钮2</t>
  </si>
  <si>
    <t>按钮3</t>
  </si>
  <si>
    <t>出生点门</t>
  </si>
  <si>
    <t>出生点门把手1</t>
  </si>
  <si>
    <t>出生点门把手2</t>
  </si>
  <si>
    <t>出生点门锁</t>
  </si>
  <si>
    <t>电视机触发区域</t>
  </si>
  <si>
    <t>电视机</t>
  </si>
  <si>
    <t>鬼域介绍</t>
  </si>
  <si>
    <t>柜子锁</t>
  </si>
  <si>
    <t>柜子门左</t>
  </si>
  <si>
    <t>柜子门左门把手</t>
  </si>
  <si>
    <t>柜子门右</t>
  </si>
  <si>
    <t>柜子门右门把手</t>
  </si>
  <si>
    <t>柜子门第一次被打开（左右任意一个）</t>
  </si>
  <si>
    <t>女鬼NPC出现事件</t>
  </si>
  <si>
    <t>血脚印事件触发区域</t>
  </si>
  <si>
    <t>创建血脚印事件</t>
  </si>
  <si>
    <t>女鬼吃人事件</t>
  </si>
  <si>
    <t>女鬼抓脸事件</t>
  </si>
  <si>
    <t>女鬼NPC</t>
  </si>
  <si>
    <t>柜子上的布</t>
  </si>
  <si>
    <t>第一房间铁门前灯Spot Light_9</t>
  </si>
  <si>
    <t>黑板抓痕</t>
  </si>
  <si>
    <t>吊环拉手1</t>
  </si>
  <si>
    <t>吊环拉手2</t>
  </si>
  <si>
    <t>吊环拉手3</t>
  </si>
  <si>
    <t>吊环拉手4</t>
  </si>
  <si>
    <t>男NPC演出</t>
  </si>
  <si>
    <t>男NPC剧情触发区域</t>
  </si>
  <si>
    <t>女厕隔间带血手稿</t>
  </si>
  <si>
    <t>纸片1（黑板上）</t>
  </si>
  <si>
    <t>纸片2</t>
  </si>
  <si>
    <t>纸片3</t>
  </si>
  <si>
    <t>纸片4</t>
  </si>
  <si>
    <t>纸片5</t>
  </si>
  <si>
    <t>纸片6</t>
  </si>
  <si>
    <t>纸片7</t>
  </si>
  <si>
    <t>纸片8</t>
  </si>
  <si>
    <t>纸片9</t>
  </si>
  <si>
    <t>纸片10（黑板上）</t>
  </si>
  <si>
    <t>右黑板</t>
  </si>
  <si>
    <t>右黑板拼图成功判定</t>
  </si>
  <si>
    <t>大铁门左</t>
  </si>
  <si>
    <t>大铁门左把手</t>
  </si>
  <si>
    <t>大铁门右</t>
  </si>
  <si>
    <t>铁门右把手</t>
  </si>
  <si>
    <t>大铁门锁</t>
  </si>
  <si>
    <t>信报箱1门</t>
  </si>
  <si>
    <t>信报箱1门把手</t>
  </si>
  <si>
    <t>信报箱1锁</t>
  </si>
  <si>
    <t>信报箱2门</t>
  </si>
  <si>
    <t>信报箱2门把手</t>
  </si>
  <si>
    <t>信报箱2锁</t>
  </si>
  <si>
    <t>信报箱3门黄婆婆</t>
  </si>
  <si>
    <t>信报箱门把手</t>
  </si>
  <si>
    <t>信报箱3锁黄婆婆</t>
  </si>
  <si>
    <t>信报箱4门</t>
  </si>
  <si>
    <t>信报箱4门把手</t>
  </si>
  <si>
    <t>信报箱4锁</t>
  </si>
  <si>
    <t>信报箱5门</t>
  </si>
  <si>
    <t>信报箱5门把手</t>
  </si>
  <si>
    <t>信报箱5锁</t>
  </si>
  <si>
    <t>信报箱6门</t>
  </si>
  <si>
    <t>信报箱6门把手</t>
  </si>
  <si>
    <t>信报箱6锁</t>
  </si>
  <si>
    <t>大铁门钥匙</t>
  </si>
  <si>
    <t>女鬼抱娃触发区域</t>
  </si>
  <si>
    <t>闪雷和喇叭</t>
  </si>
  <si>
    <t>黄婆婆锁齿轮1</t>
  </si>
  <si>
    <t>黄婆婆锁齿轮2</t>
  </si>
  <si>
    <t>黄婆婆锁齿轮3</t>
  </si>
  <si>
    <t>闪雷</t>
  </si>
  <si>
    <t>半头女鬼吓人3</t>
  </si>
  <si>
    <t>女鬼抱孩子</t>
  </si>
  <si>
    <t>触发女鬼抱孩子删除区域</t>
  </si>
  <si>
    <t>水壶</t>
  </si>
  <si>
    <t>水杯</t>
  </si>
  <si>
    <t>房间二灯</t>
  </si>
  <si>
    <t>铁柜门左1</t>
  </si>
  <si>
    <t>铁柜门右1</t>
  </si>
  <si>
    <t>铁柜门左2</t>
  </si>
  <si>
    <t>铁柜门右2</t>
  </si>
  <si>
    <t>黑板前红灯Point Light (6)</t>
  </si>
  <si>
    <t>信箱灯</t>
  </si>
  <si>
    <t>铁门外黄婆婆触发区域</t>
  </si>
  <si>
    <t>灯笼灯</t>
  </si>
  <si>
    <t>剧情1</t>
  </si>
  <si>
    <t>五仙台灯</t>
  </si>
  <si>
    <t>画卷灯</t>
  </si>
  <si>
    <t>黄婆婆灯</t>
  </si>
  <si>
    <t>剧情1触发区域</t>
  </si>
  <si>
    <t>投币口1</t>
  </si>
  <si>
    <t>投币口2</t>
  </si>
  <si>
    <t>投币口3</t>
  </si>
  <si>
    <t>黄婆婆新模型</t>
  </si>
  <si>
    <t>黄婆婆</t>
  </si>
  <si>
    <t>投币判定</t>
  </si>
  <si>
    <t>钱币1</t>
  </si>
  <si>
    <t>钱币2</t>
  </si>
  <si>
    <t>钱币3</t>
  </si>
  <si>
    <t>黄婆婆说话1</t>
  </si>
  <si>
    <t>黄婆婆说话2</t>
  </si>
  <si>
    <t>女鬼纸张</t>
  </si>
  <si>
    <t>签筒</t>
  </si>
  <si>
    <t>解签1</t>
  </si>
  <si>
    <t>解签2</t>
  </si>
  <si>
    <t>解签3</t>
  </si>
  <si>
    <t>签子</t>
  </si>
  <si>
    <t>解签4</t>
  </si>
  <si>
    <t>解签4第一次被拿起</t>
  </si>
  <si>
    <t>解签5</t>
  </si>
  <si>
    <t>解签6</t>
  </si>
  <si>
    <t>五仙祭魂术</t>
  </si>
  <si>
    <t>婆婆背后柜子门</t>
  </si>
  <si>
    <t>婆婆背后柜子门门把手</t>
  </si>
  <si>
    <t>回来后剧情触发</t>
  </si>
  <si>
    <t>解签灯</t>
  </si>
  <si>
    <t>婆婆背后柜子锁</t>
  </si>
  <si>
    <t>铁笼门</t>
  </si>
  <si>
    <t>柜子上令牌1</t>
  </si>
  <si>
    <t>柜子上令牌2</t>
  </si>
  <si>
    <t>柜子上令牌3</t>
  </si>
  <si>
    <t>木偶判定区域</t>
  </si>
  <si>
    <t>铁笼凶器</t>
  </si>
  <si>
    <t>大柜子可变形</t>
  </si>
  <si>
    <t>贴图和雾的变化</t>
  </si>
  <si>
    <t>柜子抽屉把手</t>
  </si>
  <si>
    <t>副本地图</t>
  </si>
  <si>
    <t>五仙简介</t>
  </si>
  <si>
    <t>回来后语音1</t>
  </si>
  <si>
    <t>女厕门口机关</t>
  </si>
  <si>
    <t>门口机关成功判定</t>
  </si>
  <si>
    <t>女厕门口机关握手</t>
  </si>
  <si>
    <t>五仙头1狐狸</t>
  </si>
  <si>
    <t>五仙头1狐狸第一次拾取</t>
  </si>
  <si>
    <t>五仙头2老鼠</t>
  </si>
  <si>
    <t>五仙头3黄鼠狼</t>
  </si>
  <si>
    <t>五仙头3刺猬第一次拾取</t>
  </si>
  <si>
    <t>五仙头4刺猬</t>
  </si>
  <si>
    <t>五仙头5蛇</t>
  </si>
  <si>
    <t>五仙头1区域</t>
  </si>
  <si>
    <t>五仙头2区域</t>
  </si>
  <si>
    <t>五仙头3区域</t>
  </si>
  <si>
    <t>五仙头4区域</t>
  </si>
  <si>
    <t>五仙头5区域</t>
  </si>
  <si>
    <t>106门</t>
  </si>
  <si>
    <t>106门外门把手</t>
  </si>
  <si>
    <t>106门内门把手</t>
  </si>
  <si>
    <t>106锁</t>
  </si>
  <si>
    <t>106红符</t>
  </si>
  <si>
    <t>[2130,1,10000];</t>
  </si>
  <si>
    <t>106红符第一次被拾取</t>
  </si>
  <si>
    <t>华容道拼图1</t>
  </si>
  <si>
    <t>华容道拼图2</t>
  </si>
  <si>
    <t>华容道拼图3</t>
  </si>
  <si>
    <t>华容道拼图4</t>
  </si>
  <si>
    <t>华容道拼图5</t>
  </si>
  <si>
    <t>华容道拼图6</t>
  </si>
  <si>
    <t>华容道拼图7</t>
  </si>
  <si>
    <t>华容道拼图8</t>
  </si>
  <si>
    <t>华容道拼图9</t>
  </si>
  <si>
    <t>华容道拼图成功</t>
  </si>
  <si>
    <t>电表箱红符</t>
  </si>
  <si>
    <t>电表箱红符第一次被拾取</t>
  </si>
  <si>
    <t>电表箱外电线</t>
  </si>
  <si>
    <t>电表闸1</t>
  </si>
  <si>
    <t>电表闸2</t>
  </si>
  <si>
    <t>电表闸3</t>
  </si>
  <si>
    <t>电表闸4</t>
  </si>
  <si>
    <t>电表闸5</t>
  </si>
  <si>
    <t>电表隔板</t>
  </si>
  <si>
    <t>电表箱旁边的墙壁文字</t>
  </si>
  <si>
    <t>电表箱上的文字</t>
  </si>
  <si>
    <t>棺材房门口的花圈</t>
  </si>
  <si>
    <t>棺材</t>
  </si>
  <si>
    <t>棺材震动声触发区域</t>
  </si>
  <si>
    <t>棺材震动声</t>
  </si>
  <si>
    <t>棺材4哭声</t>
  </si>
  <si>
    <t>棺材1笑声</t>
  </si>
  <si>
    <t>棺材盖</t>
  </si>
  <si>
    <t>棺材1触发区域</t>
  </si>
  <si>
    <t>棺材4触发区域</t>
  </si>
  <si>
    <t>棺材房门口地面血符</t>
  </si>
  <si>
    <t>棺材锁</t>
  </si>
  <si>
    <t>齿轮1</t>
  </si>
  <si>
    <t>齿轮2</t>
  </si>
  <si>
    <t>齿轮3</t>
  </si>
  <si>
    <t>齿轮4</t>
  </si>
  <si>
    <t>棺材底噪</t>
  </si>
  <si>
    <t>棺材红符</t>
  </si>
  <si>
    <t>柜子红符</t>
  </si>
  <si>
    <t>厕所红符</t>
  </si>
  <si>
    <t>棺材红符第一次被拿起</t>
  </si>
  <si>
    <t>柜子红符第一次被拿起</t>
  </si>
  <si>
    <t>厕所红符第一次被拿起</t>
  </si>
  <si>
    <t>厕所红符砖片</t>
  </si>
  <si>
    <t>桌上出现103</t>
  </si>
  <si>
    <t>103通道大门左</t>
  </si>
  <si>
    <t>103通道大门右</t>
  </si>
  <si>
    <t>103通道大门锁</t>
  </si>
  <si>
    <t>103通道感应1</t>
  </si>
  <si>
    <t>103通道感应2</t>
  </si>
  <si>
    <t>103通道感应3</t>
  </si>
  <si>
    <t>103通道感应4</t>
  </si>
  <si>
    <t>103通道感应道具1</t>
  </si>
  <si>
    <t>103通道感应道具2</t>
  </si>
  <si>
    <t>103通道感应道具3</t>
  </si>
  <si>
    <t>103通道感应道具4</t>
  </si>
  <si>
    <t>103门</t>
  </si>
  <si>
    <t>103门外门把手</t>
  </si>
  <si>
    <t>103门内门把手</t>
  </si>
  <si>
    <t>103门锁</t>
  </si>
  <si>
    <t>103触发门打开区域</t>
  </si>
  <si>
    <t>109门</t>
  </si>
  <si>
    <t>109门外门把手</t>
  </si>
  <si>
    <t>109门内门把手</t>
  </si>
  <si>
    <t>109门锁</t>
  </si>
  <si>
    <t>降魔杵</t>
  </si>
  <si>
    <t>103外大门隔板</t>
  </si>
  <si>
    <t>棺材盖1</t>
  </si>
  <si>
    <t>棺材盖2</t>
  </si>
  <si>
    <t>棺材盖3</t>
  </si>
  <si>
    <t>棺材盖4</t>
  </si>
  <si>
    <t>棺材盖5</t>
  </si>
  <si>
    <t>女厕外蛇</t>
  </si>
  <si>
    <t>女厕外老鼠</t>
  </si>
  <si>
    <t>女厕外狐狸</t>
  </si>
  <si>
    <t>女厕外黄鼠狼</t>
  </si>
  <si>
    <t>女厕外刺猬</t>
  </si>
  <si>
    <t>五仙台门口灯Spot Light</t>
  </si>
  <si>
    <t>五仙台门口灯Volumetric Point Light_1</t>
  </si>
  <si>
    <t>黄婆婆前灯Volumetric Point Light_2</t>
  </si>
  <si>
    <t>黄婆婆桌子上灯Spot Light</t>
  </si>
  <si>
    <t>躲避柜1</t>
  </si>
  <si>
    <t>躲避柜门1（可掉落）</t>
  </si>
  <si>
    <t>柜门轰开区域</t>
  </si>
  <si>
    <t>躲避柜2</t>
  </si>
  <si>
    <t>躲避柜门2</t>
  </si>
  <si>
    <t>躲避柜3</t>
  </si>
  <si>
    <t>躲避柜门3</t>
  </si>
  <si>
    <t>躲避柜4</t>
  </si>
  <si>
    <t>躲避柜门4</t>
  </si>
  <si>
    <t>躲避柜5</t>
  </si>
  <si>
    <t>躲避柜门5</t>
  </si>
  <si>
    <t>铁门黄婆婆触发区域</t>
  </si>
  <si>
    <t>追逐—五仙台门帘合起触发区域</t>
  </si>
  <si>
    <t>大铁门外隔板触发区域</t>
  </si>
  <si>
    <t>大铁门外隔板</t>
  </si>
  <si>
    <t>女鬼追逐事件</t>
  </si>
  <si>
    <t>记录女鬼追逐次数</t>
  </si>
  <si>
    <t>检测女鬼经过柜子</t>
  </si>
  <si>
    <t>玩家失败女鬼抓脸</t>
  </si>
  <si>
    <t>开场语音</t>
  </si>
  <si>
    <t>摇椅触发区域</t>
  </si>
  <si>
    <t>摇椅</t>
  </si>
  <si>
    <t>拍球触发区域</t>
  </si>
  <si>
    <t>拍球声音</t>
  </si>
  <si>
    <t>乌鸦叫触发区域</t>
  </si>
  <si>
    <t>乌鸦叫</t>
  </si>
  <si>
    <t>小女孩哭触发区域</t>
  </si>
  <si>
    <t>小女孩哭</t>
  </si>
  <si>
    <t>开门声触发区域</t>
  </si>
  <si>
    <t>开门声</t>
  </si>
  <si>
    <t>厕所开门音效</t>
  </si>
  <si>
    <t>掉纸人触发区域</t>
  </si>
  <si>
    <t>掉纸人</t>
  </si>
  <si>
    <t>回五仙台语音1关好柜子</t>
  </si>
  <si>
    <t>回五仙台语音2五仙真身</t>
  </si>
  <si>
    <t>回五仙台语音3原本位置</t>
  </si>
  <si>
    <t>回五仙台语音4交代</t>
  </si>
  <si>
    <t>禺镇小记1 木偶“活”了</t>
  </si>
  <si>
    <t>禺镇小记2 戏声夺命</t>
  </si>
  <si>
    <t>黄婆婆日记 镇压失败</t>
  </si>
  <si>
    <t>禺镇小记3 黄婆婆</t>
  </si>
  <si>
    <t>禺镇小记4 黄仙为尊</t>
  </si>
  <si>
    <t>五仙小传</t>
  </si>
  <si>
    <t>狐大仙</t>
  </si>
  <si>
    <t>灰大仙</t>
  </si>
  <si>
    <t>柳大仙</t>
  </si>
  <si>
    <t>白大仙</t>
  </si>
  <si>
    <t>黄大仙</t>
  </si>
  <si>
    <t>女鬼撑伞触发区域</t>
  </si>
  <si>
    <t>半头女鬼吓人2</t>
  </si>
  <si>
    <t>半头女鬼吓人2触发区域</t>
  </si>
  <si>
    <t>女鬼穿梭飞鸡吓人</t>
  </si>
  <si>
    <t>女鬼穿梭飞鸡吓人触发区域</t>
  </si>
  <si>
    <t>鸡NPC</t>
  </si>
  <si>
    <t>鬼脸吓人触发区域</t>
  </si>
  <si>
    <t>伸手吃苹果</t>
  </si>
  <si>
    <t>伸手吃苹果触发区域</t>
  </si>
  <si>
    <t>开窗户</t>
  </si>
  <si>
    <t>开窗户触发区域</t>
  </si>
  <si>
    <t>女鬼棺材</t>
  </si>
  <si>
    <t>出生房间提示触发区域</t>
  </si>
  <si>
    <t>广播房间提示触发区域</t>
  </si>
  <si>
    <t>五仙台提示触发区域</t>
  </si>
  <si>
    <t>女厕门口提示触发区域</t>
  </si>
  <si>
    <t>女厕提示触发区域</t>
  </si>
  <si>
    <t>五仙台2提示触发区域</t>
  </si>
  <si>
    <t>收发室提示触发区域</t>
  </si>
  <si>
    <t>109户前提示触发区域</t>
  </si>
  <si>
    <t>106户提示触发区域</t>
  </si>
  <si>
    <t>电表箱提示触发区域</t>
  </si>
  <si>
    <t>女厕2提示触发区域</t>
  </si>
  <si>
    <t>五仙台3提示触发区域</t>
  </si>
  <si>
    <t>103前提示触发区域</t>
  </si>
  <si>
    <t>戏台提示触发区域</t>
  </si>
  <si>
    <t>水壶滚落事件</t>
  </si>
  <si>
    <t>水壶滚落事件触发区域</t>
  </si>
  <si>
    <t>掉落麻绳1触发区域</t>
  </si>
  <si>
    <t>掉落麻绳2触发区域</t>
  </si>
  <si>
    <t>掉落麻绳3触发区域</t>
  </si>
  <si>
    <t>掉落麻绳1</t>
  </si>
  <si>
    <t>掉落麻绳2</t>
  </si>
  <si>
    <t>掉落麻绳3</t>
  </si>
  <si>
    <t>场景变化</t>
  </si>
  <si>
    <t>场景灯光变化</t>
  </si>
  <si>
    <t>禹镇采访笔记1</t>
  </si>
  <si>
    <t>禹镇采访笔记2</t>
  </si>
  <si>
    <t>禹镇采访笔记3</t>
  </si>
  <si>
    <t>禹镇采访笔记4</t>
  </si>
  <si>
    <t>禹镇采访笔记5</t>
  </si>
  <si>
    <t>禹镇采访笔记6</t>
  </si>
  <si>
    <t>剧情2</t>
  </si>
  <si>
    <t>剧情2触发区域</t>
  </si>
  <si>
    <t>剧情3</t>
  </si>
  <si>
    <t>103通道大门剧情</t>
  </si>
  <si>
    <t>票房铁门</t>
  </si>
  <si>
    <t>石狮按钮1</t>
  </si>
  <si>
    <t>石狮按钮2</t>
  </si>
  <si>
    <t>石狮按钮3</t>
  </si>
  <si>
    <t>石狮按钮4</t>
  </si>
  <si>
    <t>戏台结束事件</t>
  </si>
  <si>
    <t>戏台结束事件的触发区域</t>
  </si>
  <si>
    <t>风暴效果</t>
  </si>
  <si>
    <t>最后房间触发结束的触发区域</t>
  </si>
  <si>
    <t>结束UI（有倒计时）</t>
  </si>
  <si>
    <t>女厕镜子前睁眼</t>
  </si>
  <si>
    <t>游戏开场</t>
  </si>
  <si>
    <t>游戏结束（服务器）</t>
  </si>
  <si>
    <t>游戏结束TL（旧）</t>
  </si>
  <si>
    <t>备用状态</t>
  </si>
  <si>
    <t>[3010,0,0];[3011,0,0];[3012,0,0];[3015,0,0];[3020,0,0];[3025,0,0];[3030,0,0];[3035,0,0];[3050,0,0];[3065,0,0];[3075,0,0];[3080,0,0];[3085,0,0];[3100,0,0];[3101,0,0];[3102,0,0];[3105,1,0];[3110,0,0];[3115,0,0];[3130,0,0];[3131,0,0];[3132,0,0];[3135,1,0];[3140,0,0];[3145,0,0];[3150,0,0];[3151,0,0];[3155,0,0];[3160,0,0];[3163,0,0];[3164,0,0];[3161,0,0];[3165,1,0];[3170,0,0];[3175,0,0];[3176,1,0];[3180,0,0];[3190,0,0];[3191,0,0];[3192,0,0];[3193,0,0];[3195,-1,0];[3196,0,0];[3197,0,0];[3200,0,0];[3210,0,0];[3215,0,0];[3220,0,0];[3230,0,0];[3235,0,0];[3245,0,0];[3255,0,0];[3260,0,0];[3265,0,0];[3270,0,0];[3275,0,0];[3280,0,0];[3285,0,0];[3290,0,0];[3295,0,0];[3300,0,0];[3305,0,0];[3310,0,0];[3315,0,0];[3320,0,0];[3325,0,0];[3326,0,0];[3327,0,0];[3328,0,0];[3380,0,0];[3384,0,0];[3385,0,0];[3390,0,0];[3391,0,0];[3392,0,0];[3395,0,0];[3400,0,0];[3405,0,0];[3460,0,0];[3465,0,0];[3470,0,0];[3475,0,0];[3480,0,0];[3490,0,0];[1010,1,0];[1015,3,0];[1020,2,0];[1025,0,0];[1026,0,0];[1027,0,0];[1030,0,0];[1034,0,0];[1035,0,0];[1045,0,0];[1050,0,0];[1075,0,0];[1051,0,0];[1080,0,0];[1052,0,0];[1055,0,0];[1065,0,0];[2010,2,0];[2015,0,0];[2020,0,0];[2025,0,0];[2030,0,0];[2035,0,0];[2040,0,0];[2045,0,0];[2050,0,0];[2055,2,0];[2061,0,0];[2065,0,0];[2067,0,0];[2066,0,0];[2068,0,0];[2070,0,0];[2075,0,0];[2100,0,0];[2080,1,0];[2076,0,0];[2105,0,0];[2081,1,0];[2077,0,0];[2074,0,0];[2082,0,0];[2078,0,0];[2110,0,0];[2083,1,0];[2079,0,0];[2115,0,0];[2084,1,0];[2086,0,0];[2120,0,0];[2087,1,0];[2085,0,0];[2091,0,0];[2092,0,0];[2093,0,0];[2094,0,0];[4009,0,0];[4010,0,0];[4013,0,0];[4014,0,0];[4015,0,0];[4020,0,0];[4025,0,0];[4050,0,0];[4051,-1,0];[4052,-1,0];[4053,-1,0];[4056,-1,0];[4057,0,0];[4058,-1,0];[4059,-1,0];[4060,0,0];[4062,0,0];[4061,0,0];[4065,0,0];[4075,0,0];[4080,0,0];[4085,0,0];[4090,0,0];[4095,0,0];[4096,0,0];[4097,0,0];[4100,0,0];[4105,0,0];[4106,0,0];[4115,0,0];[4120,0,0];[4125,0,0];[4130,0,0];[4131,0,0];[4135,0,0];[4140,0,0];[4145,0,0];[4150,0,0];[4155,0,0];[4160,0,0];[4165,0,0];[4166,0,0];[4170,0,0];[4171,0,0];[4172,0,0];[4175,0,0];[4180,-1,0];[4181,0,0];[4230,0,0];[4235,-1,0];[4236,0,0];[4240,-1,0];[4245,-1,0];[4250,-1,0];[4255,-1,0];[4260,-1,0];[4261,0,0];[4265,0,0];[4270,-1,0];[4275,0,0];[4280,-1,0];[4285,-1,0];[4290,-1,0];[4295,-1,0];[4300,-1,0];[4301,-1,0];[4302,-1,0];[4303,0,0];[4304,0,0];[4307,0,0];[4308,0,0];[4305,-1,0];[4306,-1,0];[4310,0,0];[4315,-1,0];[4320,-1,0];[4325,-1,0];[4330,-1,0];[4355,0,0];[4356,0,0];[4357,0,0];[4360,1,0];[4365,0,0];[5025,0,0];[5035,0,0];[5040,0,0];[5045,0,0];[5050,0,0];[5055,0,0];[5065,0,0];[5070,0,0];[5075,0,0];[5080,0,0];[5175,0,0];[5180,0,0];[5195,0,0];[5210,0,0];[5220,0,0];[5230,0,0];[5300,0,0];[5305,0,0];[6002,0,0];[6003,0,0];[6004,0,0]</t>
  </si>
  <si>
    <t>[3010,0,0];[3015,0,0];[4011,0,0]</t>
  </si>
  <si>
    <t>3020</t>
  </si>
  <si>
    <t>冲水开灯</t>
  </si>
  <si>
    <t>[3025,1]</t>
  </si>
  <si>
    <t>[3177,0,0];[3030,1,3000]</t>
  </si>
  <si>
    <t>3025;3177</t>
  </si>
  <si>
    <t>3151</t>
  </si>
  <si>
    <t>[3030,0,1000];[3260,1,10000];[3191,1,18000];[3192,1,18000];[3193,1,18000];[3194,0,2000];[3198,1,18000]</t>
  </si>
  <si>
    <t>[3194,1,13000];[3195,0,18000]</t>
  </si>
  <si>
    <t>[3215,1,500];[3198,0,500]</t>
  </si>
  <si>
    <t>化妆盒第一次被拾取</t>
  </si>
  <si>
    <t>[3260,102,0];[3335,1,0];[3340,1,0];[3345,1,0];[3065,1,0];[3445,0,2000];[3450,0,2000];[3455,0,2000];[3085,0,0];[3235,1,2000];[3030,1,4000]</t>
  </si>
  <si>
    <t>[3260,1,4000]</t>
  </si>
  <si>
    <t>[3260,102,0];[3386,1,0];[3380,1,1000];[3085,1,0];[3085,0,5575];[3385,1,5000];[3395,1,7000];[3065,2,8000];[3035,1,8000];[3445,1,8000];[3450,1,8000];[3384,1,8000];[3455,1,8000];[3400,1,8000];[3405,1,8000];[3030,103,8000];[3390,1,8000];[3391,1,8000];[3392,1,8000];[3041,0,12000];[3480,1,13000]</t>
  </si>
  <si>
    <t>3041</t>
  </si>
  <si>
    <t>[3065,1,0];[3085,0,0];[3480,0,0];[3030,105,0];[3085,105,0];[6052,0,0]</t>
  </si>
  <si>
    <t>[3325,1,5000];[3327,1,5000];[3015,1,7500];[3010,1,8000]</t>
  </si>
  <si>
    <t>出生点机关</t>
  </si>
  <si>
    <t>[1010,3];[1015,2];[1020,0]</t>
  </si>
  <si>
    <t>[1030,1,0];[5025,1,0];[2090,0,0];[5030,0,0];[5060,0,0]</t>
  </si>
  <si>
    <t>[1035,2,37000]</t>
  </si>
  <si>
    <t>喇叭</t>
  </si>
  <si>
    <t>[2090,1]</t>
  </si>
  <si>
    <t>[2091,1,0]</t>
  </si>
  <si>
    <t>[2091,2,43000]</t>
  </si>
  <si>
    <t>[2082,1,1000]</t>
  </si>
  <si>
    <t>[5035,1,0]</t>
  </si>
  <si>
    <t>[5065,1,0]</t>
  </si>
  <si>
    <t>[4010,1,0]</t>
  </si>
  <si>
    <t>[4035,0,0];[4040,0,0];[4045,0,0];[4029,0,0];[4049,0,0]</t>
  </si>
  <si>
    <t>[4051,1,0];[4052,1,0];[4053,1,0];[4056,1,0];[4058,1,0];[4059,1,0]</t>
  </si>
  <si>
    <t>[4029,1,6000]</t>
  </si>
  <si>
    <t>[5140,1,0]</t>
  </si>
  <si>
    <t>[4029,2,1000]</t>
  </si>
  <si>
    <t>[4050,1,0];[4055,0,0]</t>
  </si>
  <si>
    <t>半人女鬼吓人1</t>
  </si>
  <si>
    <t>[5170,0,0]</t>
  </si>
  <si>
    <t>[3015,1,500]</t>
  </si>
  <si>
    <t>[6002,1,0]</t>
  </si>
  <si>
    <t>[4065,1,0]</t>
  </si>
  <si>
    <t>[4095,1,500];[4096,1,5000];[3460,-2,0];[4029,3,500]</t>
  </si>
  <si>
    <t>[4029,4,26000];[4096,2,104000]</t>
  </si>
  <si>
    <t>地图出现五仙位置开启，红符激活</t>
  </si>
  <si>
    <t>[4029,4]</t>
  </si>
  <si>
    <t>[4180,1,0];[4235,1,0];[4300,1,0];[4301,1,0];[4302,1,0]</t>
  </si>
  <si>
    <t>[4240,1,0];[4245,1,0];[4250,1,0];[4255,1,0];[4260,1,0]</t>
  </si>
  <si>
    <t>[1045,1,1000]</t>
  </si>
  <si>
    <t>[4308,1,1000];[5185,0,0]</t>
  </si>
  <si>
    <t>棺材激活</t>
  </si>
  <si>
    <t>[4280,1,0];[4285,3,0];[4290,2,0];[4295,2,0]</t>
  </si>
  <si>
    <t>出生点门被打开出现女鬼</t>
  </si>
  <si>
    <t>[1052,1]</t>
  </si>
  <si>
    <t>[1055,1,1000];[1060,0,1000]</t>
  </si>
  <si>
    <t>女鬼抓人触发</t>
  </si>
  <si>
    <t>[1060,1]</t>
  </si>
  <si>
    <t>[1065,1,0]</t>
  </si>
  <si>
    <t>[4240,1];[4245,4];[4250,0];[4255,3];[4260,1]</t>
  </si>
  <si>
    <t>[4261,1,1000]</t>
  </si>
  <si>
    <t>[4280,0];[4285,4];[4290,4];[4295,1]</t>
  </si>
  <si>
    <t>[4275,1,0]</t>
  </si>
  <si>
    <t>[4029,7,0]</t>
  </si>
  <si>
    <t>[4029,8,0]</t>
  </si>
  <si>
    <t>[4029,9,0]</t>
  </si>
  <si>
    <t>[4029,10,0]</t>
  </si>
  <si>
    <t>[4029,11,0]</t>
  </si>
  <si>
    <t>[4120,-1,0];[4125,-1,0];[4130,-1,0];[4135,-1,0];[4140,-1,0]</t>
  </si>
  <si>
    <t>[6003,1,2000]</t>
  </si>
  <si>
    <t>[6003,1]</t>
  </si>
  <si>
    <t>[4315,0,0];[4320,0,0];[4325,0,0];[4330,0,0];[4335,0,0];[4340,0,0];[4345,0,0];[4350,0,0]</t>
  </si>
  <si>
    <t>[4310,1,0];[6004,1,1000];[4305,1,1000];[4306,1,1000]</t>
  </si>
  <si>
    <t>103门打开</t>
  </si>
  <si>
    <t>[4365,1]</t>
  </si>
  <si>
    <t>[4355,1,0]</t>
  </si>
  <si>
    <t>[1035,2]</t>
  </si>
  <si>
    <t>[2091,2]</t>
  </si>
  <si>
    <t>[4010,1]</t>
  </si>
  <si>
    <t>[6002,1]</t>
  </si>
  <si>
    <t>[6002,2]</t>
  </si>
  <si>
    <t>[4096,2]</t>
  </si>
  <si>
    <t>[6003,2]</t>
  </si>
  <si>
    <t>1010,1,0</t>
  </si>
  <si>
    <t>1015,3,0</t>
  </si>
  <si>
    <t>1020,2,0</t>
  </si>
  <si>
    <t>1025,0,0</t>
  </si>
  <si>
    <t>1030,0,0</t>
  </si>
  <si>
    <t>1034,0,0</t>
  </si>
  <si>
    <t>1035,0,0</t>
  </si>
  <si>
    <t>1045,0,0</t>
  </si>
  <si>
    <t>1050,0,0</t>
  </si>
  <si>
    <t>1051,0,0</t>
  </si>
  <si>
    <t>1090,1,0</t>
  </si>
  <si>
    <t>3325,1,0</t>
  </si>
  <si>
    <t>3328,1,0</t>
  </si>
  <si>
    <t>3329,1,0</t>
  </si>
  <si>
    <t>2150,1,0</t>
  </si>
  <si>
    <t>1085,0,0</t>
  </si>
  <si>
    <t>5300,0,0</t>
  </si>
  <si>
    <t>5305,0,0</t>
  </si>
  <si>
    <t>5310,0,0</t>
  </si>
  <si>
    <t>5315,0,0</t>
  </si>
  <si>
    <t>5320,0,0</t>
  </si>
  <si>
    <t>9995,0,0</t>
  </si>
  <si>
    <t>9997,0,0</t>
  </si>
  <si>
    <t>9998,0,0</t>
  </si>
  <si>
    <t>9999,0,0</t>
  </si>
  <si>
    <t>3010,0,0</t>
  </si>
  <si>
    <t>3015,0,0</t>
  </si>
  <si>
    <t>3041,0,0</t>
  </si>
  <si>
    <t>4301,-1,0</t>
  </si>
  <si>
    <t>5030,0,0</t>
  </si>
  <si>
    <t>5060,0,0</t>
  </si>
  <si>
    <t>4029,16,0</t>
  </si>
  <si>
    <t>2010,2,0</t>
  </si>
  <si>
    <t>2015,2,0</t>
  </si>
  <si>
    <t>2020,0,0</t>
  </si>
  <si>
    <t>2025,0,0</t>
  </si>
  <si>
    <t>2030,2,0</t>
  </si>
  <si>
    <t>2035,0,0</t>
  </si>
  <si>
    <t>2040,2,0</t>
  </si>
  <si>
    <t>2045,2,0</t>
  </si>
  <si>
    <t>2050,0,0</t>
  </si>
  <si>
    <t>2055,2,0</t>
  </si>
  <si>
    <t>2061,0,0</t>
  </si>
  <si>
    <t>2065,0,0</t>
  </si>
  <si>
    <t>2066,0,0</t>
  </si>
  <si>
    <t>2070,0,0</t>
  </si>
  <si>
    <t>2075,0,0</t>
  </si>
  <si>
    <t>2080,1,0</t>
  </si>
  <si>
    <t>2076,0,0</t>
  </si>
  <si>
    <t>2081,1,0</t>
  </si>
  <si>
    <t>2077,0,0</t>
  </si>
  <si>
    <t>2082,0,0</t>
  </si>
  <si>
    <t>2078,0,0</t>
  </si>
  <si>
    <t>2083,1,0</t>
  </si>
  <si>
    <t>2079,0,0</t>
  </si>
  <si>
    <t>2084,1,0</t>
  </si>
  <si>
    <t>2086,0,0</t>
  </si>
  <si>
    <t>2087,1,0</t>
  </si>
  <si>
    <t>2085,0,0</t>
  </si>
  <si>
    <t>2090,0,0</t>
  </si>
  <si>
    <t>2091,0,0</t>
  </si>
  <si>
    <t>2092,0,0</t>
  </si>
  <si>
    <t>2093,0,0</t>
  </si>
  <si>
    <t>2094,0,0</t>
  </si>
  <si>
    <t>2130,0,0</t>
  </si>
  <si>
    <t>2135,0,0</t>
  </si>
  <si>
    <t>2136,0,0</t>
  </si>
  <si>
    <t>2137,0,0</t>
  </si>
  <si>
    <t>2140,0,0</t>
  </si>
  <si>
    <t>2145,0,0</t>
  </si>
  <si>
    <t>2200,0,0</t>
  </si>
  <si>
    <t>2205,0,0</t>
  </si>
  <si>
    <t>2210,0,0</t>
  </si>
  <si>
    <t>2215,0,0</t>
  </si>
  <si>
    <t>2220,0,0</t>
  </si>
  <si>
    <t>2300,0,0</t>
  </si>
  <si>
    <t>5025,0,0</t>
  </si>
  <si>
    <t>5035,0,0</t>
  </si>
  <si>
    <t>5040,0,0</t>
  </si>
  <si>
    <t>5045,0,0</t>
  </si>
  <si>
    <t>5055,0,0</t>
  </si>
  <si>
    <t>5065,0,0</t>
  </si>
  <si>
    <t>5070,0,0</t>
  </si>
  <si>
    <t>5075,0,0</t>
  </si>
  <si>
    <t>5080,0,0</t>
  </si>
  <si>
    <t>5115,0,0</t>
  </si>
  <si>
    <t>3327,0,0</t>
  </si>
  <si>
    <t>4645,0,0</t>
  </si>
  <si>
    <t>5170,0,0</t>
  </si>
  <si>
    <t>5180,0,0</t>
  </si>
  <si>
    <t>5205,0,0</t>
  </si>
  <si>
    <t>5210,0,0</t>
  </si>
  <si>
    <t>5215,0,0</t>
  </si>
  <si>
    <t>5230,0,0</t>
  </si>
  <si>
    <t>5235,0,0</t>
  </si>
  <si>
    <t>5365,0,0</t>
  </si>
  <si>
    <t>5390,0,0</t>
  </si>
  <si>
    <t>5391,0,0</t>
  </si>
  <si>
    <t>5392,0,0</t>
  </si>
  <si>
    <t>5400,0,0</t>
  </si>
  <si>
    <t>5410,0,0</t>
  </si>
  <si>
    <t>7001,0,0</t>
  </si>
  <si>
    <t>9985,0,0</t>
  </si>
  <si>
    <t>1010</t>
  </si>
  <si>
    <t>1015</t>
  </si>
  <si>
    <t>1020</t>
  </si>
  <si>
    <t>1025</t>
  </si>
  <si>
    <t>1030</t>
  </si>
  <si>
    <t>1034</t>
  </si>
  <si>
    <t>1035</t>
  </si>
  <si>
    <t>1045</t>
  </si>
  <si>
    <t>1050</t>
  </si>
  <si>
    <t>1051</t>
  </si>
  <si>
    <t>1090</t>
  </si>
  <si>
    <t>3325</t>
  </si>
  <si>
    <t>3328</t>
  </si>
  <si>
    <t>3329</t>
  </si>
  <si>
    <t>2150</t>
  </si>
  <si>
    <t>1085</t>
  </si>
  <si>
    <t>5300</t>
  </si>
  <si>
    <t>5305</t>
  </si>
  <si>
    <t>5310</t>
  </si>
  <si>
    <t>5315</t>
  </si>
  <si>
    <t>5320</t>
  </si>
  <si>
    <t>9995</t>
  </si>
  <si>
    <t>9997</t>
  </si>
  <si>
    <t>9998</t>
  </si>
  <si>
    <t>9999</t>
  </si>
  <si>
    <t>3010</t>
  </si>
  <si>
    <t>3015</t>
  </si>
  <si>
    <t>4301</t>
  </si>
  <si>
    <t>5030</t>
  </si>
  <si>
    <t>5060</t>
  </si>
  <si>
    <t>2010</t>
  </si>
  <si>
    <t>2015</t>
  </si>
  <si>
    <t>2020</t>
  </si>
  <si>
    <t>2025</t>
  </si>
  <si>
    <t>2030</t>
  </si>
  <si>
    <t>2035</t>
  </si>
  <si>
    <t>2040</t>
  </si>
  <si>
    <t>2045</t>
  </si>
  <si>
    <t>2050</t>
  </si>
  <si>
    <t>2055</t>
  </si>
  <si>
    <t>2061</t>
  </si>
  <si>
    <t>2065</t>
  </si>
  <si>
    <t>2066</t>
  </si>
  <si>
    <t>2070</t>
  </si>
  <si>
    <t>2075</t>
  </si>
  <si>
    <t>2080</t>
  </si>
  <si>
    <t>2076</t>
  </si>
  <si>
    <t>2081</t>
  </si>
  <si>
    <t>2077</t>
  </si>
  <si>
    <t>2082</t>
  </si>
  <si>
    <t>2078</t>
  </si>
  <si>
    <t>2083</t>
  </si>
  <si>
    <t>2079</t>
  </si>
  <si>
    <t>2084</t>
  </si>
  <si>
    <t>2086</t>
  </si>
  <si>
    <t>2087</t>
  </si>
  <si>
    <t>2085</t>
  </si>
  <si>
    <t>2090</t>
  </si>
  <si>
    <t>2091</t>
  </si>
  <si>
    <t>2092</t>
  </si>
  <si>
    <t>2093</t>
  </si>
  <si>
    <t>2094</t>
  </si>
  <si>
    <t>2130</t>
  </si>
  <si>
    <t>2135</t>
  </si>
  <si>
    <t>2136</t>
  </si>
  <si>
    <t>2137</t>
  </si>
  <si>
    <t>2140</t>
  </si>
  <si>
    <t>2145</t>
  </si>
  <si>
    <t>2200</t>
  </si>
  <si>
    <t>2205</t>
  </si>
  <si>
    <t>2210</t>
  </si>
  <si>
    <t>2215</t>
  </si>
  <si>
    <t>2220</t>
  </si>
  <si>
    <t>2300</t>
  </si>
  <si>
    <t>5025</t>
  </si>
  <si>
    <t>5035</t>
  </si>
  <si>
    <t>5040</t>
  </si>
  <si>
    <t>5045</t>
  </si>
  <si>
    <t>5055</t>
  </si>
  <si>
    <t>5065</t>
  </si>
  <si>
    <t>5070</t>
  </si>
  <si>
    <t>5075</t>
  </si>
  <si>
    <t>5080</t>
  </si>
  <si>
    <t>5115</t>
  </si>
  <si>
    <t>3327</t>
  </si>
  <si>
    <t>4645</t>
  </si>
  <si>
    <t>5180</t>
  </si>
  <si>
    <t>5205</t>
  </si>
  <si>
    <t>5210</t>
  </si>
  <si>
    <t>5215</t>
  </si>
  <si>
    <t>5230</t>
  </si>
  <si>
    <t>5235</t>
  </si>
  <si>
    <t>5365</t>
  </si>
  <si>
    <t>5390</t>
  </si>
  <si>
    <t>5391</t>
  </si>
  <si>
    <t>5392</t>
  </si>
  <si>
    <t>5400</t>
  </si>
  <si>
    <t>5410</t>
  </si>
  <si>
    <t>7001</t>
  </si>
  <si>
    <t>9985</t>
  </si>
  <si>
    <t>5500,0,0</t>
  </si>
  <si>
    <t>5505,0,0</t>
  </si>
  <si>
    <t>5510,0,0</t>
  </si>
  <si>
    <t>5515,0,0</t>
  </si>
  <si>
    <t>5520,0,0</t>
  </si>
  <si>
    <t>5525,0,0</t>
  </si>
  <si>
    <t>1090,0,0</t>
  </si>
  <si>
    <t>6095,0,0</t>
  </si>
  <si>
    <t>6100,0,0</t>
  </si>
  <si>
    <t>6105,0,0</t>
  </si>
  <si>
    <t>6110,0,0</t>
  </si>
  <si>
    <t>6115,0,0</t>
  </si>
  <si>
    <t>6120,0,0</t>
  </si>
  <si>
    <t>6125,0,0</t>
  </si>
  <si>
    <t>6130,0,0</t>
  </si>
  <si>
    <t>5500</t>
  </si>
  <si>
    <t>5505</t>
  </si>
  <si>
    <t>5510</t>
  </si>
  <si>
    <t>5515</t>
  </si>
  <si>
    <t>5520</t>
  </si>
  <si>
    <t>5525</t>
  </si>
  <si>
    <t>6095</t>
  </si>
  <si>
    <t>6100</t>
  </si>
  <si>
    <t>6105</t>
  </si>
  <si>
    <t>6110</t>
  </si>
  <si>
    <t>6115</t>
  </si>
  <si>
    <t>6120</t>
  </si>
  <si>
    <t>6125</t>
  </si>
  <si>
    <t>6130</t>
  </si>
  <si>
    <t>[9999,1,1000]</t>
    <phoneticPr fontId="5" type="noConversion"/>
  </si>
  <si>
    <t>[4029,2,1000];[9999,2,22000]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</si>
</sst>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9"/>
      <name val="宋体"/>
      <charset val="134"/>
    </font>
    <font>
      <b/>
      <sz val="9"/>
      <name val="宋体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815363017670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845881527146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49" fontId="2" fillId="5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left" vertical="center" wrapText="1"/>
    </xf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left" vertical="center" wrapText="1"/>
    </xf>
    <xf numFmtId="49" fontId="0" fillId="0" borderId="0" xfId="0" applyNumberFormat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49" fontId="0" fillId="10" borderId="1" xfId="0" applyNumberForma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/>
    </xf>
    <xf numFmtId="0" fontId="0" fillId="13" borderId="1" xfId="0" applyFill="1" applyBorder="1" applyAlignment="1">
      <alignment horizontal="left" vertical="center"/>
    </xf>
    <xf numFmtId="49" fontId="0" fillId="13" borderId="1" xfId="0" applyNumberForma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</cellXfs>
  <cellStyles count="1">
    <cellStyle name="常规" xfId="0" builtinId="0"/>
  </cellStyles>
  <dxfs count="186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5"/>
  <sheetViews>
    <sheetView tabSelected="1" zoomScale="160" zoomScaleNormal="160" workbookViewId="0">
      <pane xSplit="2" ySplit="3" topLeftCell="N4" activePane="bottomRight" state="frozen"/>
      <selection pane="topRight"/>
      <selection pane="bottomLeft"/>
      <selection pane="bottomRight" activeCell="R1" sqref="R1:R1048576"/>
    </sheetView>
  </sheetViews>
  <sheetFormatPr defaultColWidth="9" defaultRowHeight="14.4" x14ac:dyDescent="0.25"/>
  <cols>
    <col min="1" max="1" width="8.44140625" style="4" customWidth="1"/>
    <col min="2" max="2" width="20.6640625" style="3" customWidth="1"/>
    <col min="3" max="3" width="12.6640625" style="4" customWidth="1"/>
    <col min="4" max="4" width="10.6640625" style="4" customWidth="1"/>
    <col min="5" max="5" width="10.88671875" style="4" customWidth="1"/>
    <col min="6" max="6" width="21" style="4" customWidth="1"/>
    <col min="7" max="7" width="28.6640625" style="5" customWidth="1"/>
    <col min="8" max="8" width="28.88671875" style="4" customWidth="1"/>
    <col min="9" max="9" width="12.21875" style="4" customWidth="1"/>
    <col min="10" max="10" width="66.88671875" style="3" customWidth="1"/>
    <col min="11" max="11" width="66.44140625" style="4" customWidth="1"/>
    <col min="12" max="12" width="34.44140625" style="3" customWidth="1"/>
    <col min="13" max="13" width="38.21875" style="4" customWidth="1"/>
    <col min="14" max="14" width="12.33203125" style="6" customWidth="1"/>
    <col min="15" max="15" width="16.77734375" style="4" customWidth="1"/>
    <col min="16" max="16" width="10" style="4" customWidth="1"/>
    <col min="17" max="17" width="23.77734375" style="4" customWidth="1"/>
    <col min="18" max="20" width="9" style="4"/>
    <col min="21" max="21" width="8.21875" style="4" customWidth="1"/>
    <col min="22" max="22" width="9" style="4"/>
    <col min="23" max="23" width="128.109375" style="4" customWidth="1"/>
    <col min="24" max="16384" width="9" style="4"/>
  </cols>
  <sheetData>
    <row r="1" spans="1:23" x14ac:dyDescent="0.25">
      <c r="A1" s="7">
        <v>1</v>
      </c>
      <c r="B1" s="2"/>
      <c r="C1" s="7"/>
      <c r="D1" s="7"/>
      <c r="E1" s="7"/>
      <c r="F1" s="7"/>
      <c r="G1" s="1"/>
      <c r="H1" s="7"/>
      <c r="I1" s="7"/>
      <c r="J1" s="2"/>
      <c r="K1" s="7"/>
      <c r="L1" s="2"/>
      <c r="M1" s="7"/>
      <c r="N1" s="14"/>
      <c r="O1" s="7"/>
      <c r="P1" s="7"/>
      <c r="Q1" s="7"/>
    </row>
    <row r="2" spans="1:23" s="3" customFormat="1" ht="28.8" x14ac:dyDescent="0.25">
      <c r="A2" s="8" t="s">
        <v>0</v>
      </c>
      <c r="B2" s="8"/>
      <c r="C2" s="8" t="s">
        <v>1</v>
      </c>
      <c r="D2" s="9" t="s">
        <v>2</v>
      </c>
      <c r="E2" s="9" t="s">
        <v>3</v>
      </c>
      <c r="F2" s="7"/>
      <c r="G2" s="10" t="s">
        <v>4</v>
      </c>
      <c r="H2" s="2"/>
      <c r="I2" s="10" t="s">
        <v>5</v>
      </c>
      <c r="J2" s="15" t="s">
        <v>6</v>
      </c>
      <c r="K2" s="2"/>
      <c r="L2" s="15" t="s">
        <v>7</v>
      </c>
      <c r="M2" s="2"/>
      <c r="N2" s="16" t="s">
        <v>8</v>
      </c>
      <c r="O2" s="2"/>
      <c r="P2" s="15" t="s">
        <v>9</v>
      </c>
      <c r="Q2" s="15" t="s">
        <v>10</v>
      </c>
    </row>
    <row r="3" spans="1:23" s="3" customFormat="1" ht="57.6" x14ac:dyDescent="0.25">
      <c r="A3" s="8" t="s">
        <v>11</v>
      </c>
      <c r="B3" s="8" t="s">
        <v>12</v>
      </c>
      <c r="C3" s="8" t="s">
        <v>13</v>
      </c>
      <c r="D3" s="9" t="s">
        <v>14</v>
      </c>
      <c r="E3" s="9" t="s">
        <v>15</v>
      </c>
      <c r="F3" s="9" t="s">
        <v>16</v>
      </c>
      <c r="G3" s="10" t="s">
        <v>17</v>
      </c>
      <c r="H3" s="9" t="s">
        <v>18</v>
      </c>
      <c r="I3" s="10" t="s">
        <v>19</v>
      </c>
      <c r="J3" s="15" t="s">
        <v>20</v>
      </c>
      <c r="K3" s="9" t="s">
        <v>21</v>
      </c>
      <c r="L3" s="15" t="s">
        <v>22</v>
      </c>
      <c r="M3" s="9" t="s">
        <v>23</v>
      </c>
      <c r="N3" s="16" t="s">
        <v>24</v>
      </c>
      <c r="O3" s="9" t="s">
        <v>24</v>
      </c>
      <c r="P3" s="15" t="s">
        <v>25</v>
      </c>
      <c r="Q3" s="15" t="s">
        <v>26</v>
      </c>
    </row>
    <row r="4" spans="1:23" x14ac:dyDescent="0.25">
      <c r="A4" s="11" t="s">
        <v>27</v>
      </c>
      <c r="B4" s="8"/>
      <c r="C4" s="11" t="s">
        <v>27</v>
      </c>
      <c r="D4" s="12" t="s">
        <v>27</v>
      </c>
      <c r="E4" s="12" t="s">
        <v>27</v>
      </c>
      <c r="F4" s="12"/>
      <c r="G4" s="10" t="s">
        <v>27</v>
      </c>
      <c r="H4" s="7"/>
      <c r="I4" s="17" t="s">
        <v>27</v>
      </c>
      <c r="J4" s="15" t="s">
        <v>27</v>
      </c>
      <c r="K4" s="7"/>
      <c r="L4" s="15" t="s">
        <v>27</v>
      </c>
      <c r="M4" s="7"/>
      <c r="N4" s="18" t="s">
        <v>27</v>
      </c>
      <c r="O4" s="7"/>
      <c r="P4" s="19" t="s">
        <v>27</v>
      </c>
      <c r="Q4" s="15" t="s">
        <v>27</v>
      </c>
    </row>
    <row r="5" spans="1:23" s="3" customFormat="1" ht="43.2" x14ac:dyDescent="0.25">
      <c r="A5" s="8" t="s">
        <v>28</v>
      </c>
      <c r="B5" s="8"/>
      <c r="C5" s="8" t="s">
        <v>28</v>
      </c>
      <c r="D5" s="9" t="s">
        <v>29</v>
      </c>
      <c r="E5" s="9" t="s">
        <v>30</v>
      </c>
      <c r="F5" s="9"/>
      <c r="G5" s="10" t="s">
        <v>30</v>
      </c>
      <c r="H5" s="2"/>
      <c r="I5" s="10" t="s">
        <v>29</v>
      </c>
      <c r="J5" s="15" t="s">
        <v>31</v>
      </c>
      <c r="K5" s="2"/>
      <c r="L5" s="15" t="s">
        <v>31</v>
      </c>
      <c r="M5" s="2"/>
      <c r="N5" s="16" t="s">
        <v>29</v>
      </c>
      <c r="O5" s="2"/>
      <c r="P5" s="15" t="s">
        <v>29</v>
      </c>
      <c r="Q5" s="15" t="s">
        <v>32</v>
      </c>
    </row>
    <row r="6" spans="1:23" s="3" customFormat="1" ht="409.6" x14ac:dyDescent="0.25">
      <c r="A6" s="7">
        <v>1</v>
      </c>
      <c r="B6" s="2" t="s">
        <v>33</v>
      </c>
      <c r="C6" s="7"/>
      <c r="D6" s="7"/>
      <c r="E6" s="7" t="s">
        <v>34</v>
      </c>
      <c r="F6" s="2" t="e">
        <f ca="1">ReplaceValuesUDF(E6,"Sheet2")</f>
        <v>#NAME?</v>
      </c>
      <c r="G6" s="1"/>
      <c r="H6" s="2" t="e">
        <f t="shared" ref="H6:H11" ca="1" si="0">ReplaceValuesUDF(G6,"Sheet2")</f>
        <v>#NAME?</v>
      </c>
      <c r="I6" s="13"/>
      <c r="J6" s="1" t="s">
        <v>35</v>
      </c>
      <c r="K6" s="2" t="e">
        <f t="shared" ref="K6:K11" ca="1" si="1">ReplaceValuesUDF(J6,"Sheet2")</f>
        <v>#NAME?</v>
      </c>
      <c r="L6" s="1"/>
      <c r="M6" s="2" t="e">
        <f ca="1">ReplaceValuesUDF(L6,"Sheet2")</f>
        <v>#NAME?</v>
      </c>
      <c r="N6" s="20"/>
      <c r="O6" s="2" t="e">
        <f ca="1">ReplaceValuesUDF(N6,"Sheet2")</f>
        <v>#NAME?</v>
      </c>
      <c r="P6" s="7"/>
      <c r="Q6" s="7"/>
    </row>
    <row r="7" spans="1:23" ht="408.9" customHeight="1" x14ac:dyDescent="0.25">
      <c r="A7" s="7">
        <v>10000</v>
      </c>
      <c r="B7" s="2" t="s">
        <v>36</v>
      </c>
      <c r="C7" s="7"/>
      <c r="D7" s="7"/>
      <c r="E7" s="7"/>
      <c r="F7" s="2" t="e">
        <f ca="1">ReplaceValuesUDF(E7,"Sheet2")</f>
        <v>#NAME?</v>
      </c>
      <c r="G7" s="1"/>
      <c r="H7" s="2" t="e">
        <f t="shared" ca="1" si="0"/>
        <v>#NAME?</v>
      </c>
      <c r="I7" s="13"/>
      <c r="J7" s="1" t="s">
        <v>37</v>
      </c>
      <c r="K7" s="2" t="e">
        <f t="shared" ca="1" si="1"/>
        <v>#NAME?</v>
      </c>
      <c r="L7" s="1"/>
      <c r="M7" s="2" t="e">
        <f ca="1">ReplaceValuesUDF(L7,"Sheet2")</f>
        <v>#NAME?</v>
      </c>
      <c r="N7" s="20"/>
      <c r="O7" s="2" t="e">
        <f ca="1">ReplaceValuesUDF(N7,"Sheet2")</f>
        <v>#NAME?</v>
      </c>
      <c r="P7" s="7"/>
      <c r="Q7" s="7"/>
      <c r="W7" s="3"/>
    </row>
    <row r="8" spans="1:23" ht="27" customHeight="1" x14ac:dyDescent="0.25">
      <c r="A8" s="7">
        <v>10005</v>
      </c>
      <c r="B8" s="42" t="s">
        <v>38</v>
      </c>
      <c r="C8" s="7"/>
      <c r="D8" s="7"/>
      <c r="E8" s="7"/>
      <c r="F8" s="2"/>
      <c r="G8" s="1" t="s">
        <v>39</v>
      </c>
      <c r="H8" s="2" t="e">
        <f t="shared" ca="1" si="0"/>
        <v>#NAME?</v>
      </c>
      <c r="I8" s="13"/>
      <c r="J8" s="1" t="s">
        <v>40</v>
      </c>
      <c r="K8" s="2" t="e">
        <f t="shared" ca="1" si="1"/>
        <v>#NAME?</v>
      </c>
      <c r="L8" s="1"/>
      <c r="M8" s="2"/>
      <c r="N8" s="51"/>
      <c r="O8" s="2"/>
      <c r="P8" s="7"/>
      <c r="Q8" s="7"/>
      <c r="W8" s="3"/>
    </row>
    <row r="9" spans="1:23" ht="87.75" customHeight="1" x14ac:dyDescent="0.25">
      <c r="A9" s="43">
        <v>10010</v>
      </c>
      <c r="B9" s="42" t="s">
        <v>41</v>
      </c>
      <c r="C9" s="7"/>
      <c r="D9" s="7"/>
      <c r="E9" s="7"/>
      <c r="F9" s="2"/>
      <c r="G9" s="44" t="s">
        <v>42</v>
      </c>
      <c r="H9" s="45" t="e">
        <f t="shared" ca="1" si="0"/>
        <v>#NAME?</v>
      </c>
      <c r="I9" s="13"/>
      <c r="J9" s="44" t="s">
        <v>43</v>
      </c>
      <c r="K9" s="2" t="e">
        <f t="shared" ca="1" si="1"/>
        <v>#NAME?</v>
      </c>
      <c r="L9" s="1"/>
      <c r="M9" s="2"/>
      <c r="N9" s="51"/>
      <c r="O9" s="2"/>
      <c r="P9" s="7"/>
      <c r="Q9" s="7"/>
      <c r="W9" s="3"/>
    </row>
    <row r="10" spans="1:23" ht="335.1" customHeight="1" x14ac:dyDescent="0.25">
      <c r="A10" s="43">
        <v>10030</v>
      </c>
      <c r="B10" s="42" t="s">
        <v>44</v>
      </c>
      <c r="C10" s="7"/>
      <c r="D10" s="7"/>
      <c r="E10" s="7"/>
      <c r="F10" s="2" t="e">
        <f ca="1">ReplaceValuesUDF(E10,"Sheet2")</f>
        <v>#NAME?</v>
      </c>
      <c r="G10" s="1" t="s">
        <v>45</v>
      </c>
      <c r="H10" s="2" t="e">
        <f t="shared" ca="1" si="0"/>
        <v>#NAME?</v>
      </c>
      <c r="I10" s="13"/>
      <c r="J10" s="1" t="s">
        <v>46</v>
      </c>
      <c r="K10" s="2" t="e">
        <f t="shared" ca="1" si="1"/>
        <v>#NAME?</v>
      </c>
      <c r="L10" s="1"/>
      <c r="M10" s="2" t="e">
        <f ca="1">ReplaceValuesUDF(L10,"Sheet2")</f>
        <v>#NAME?</v>
      </c>
      <c r="O10" s="2" t="e">
        <f ca="1">ReplaceValuesUDF(N14,"Sheet2")</f>
        <v>#NAME?</v>
      </c>
      <c r="P10" s="7"/>
      <c r="Q10" s="7"/>
    </row>
    <row r="11" spans="1:23" s="39" customFormat="1" x14ac:dyDescent="0.25">
      <c r="A11" s="7">
        <v>10020</v>
      </c>
      <c r="B11" s="46" t="s">
        <v>47</v>
      </c>
      <c r="C11" s="34"/>
      <c r="D11" s="34"/>
      <c r="E11" s="34"/>
      <c r="F11" s="46" t="e">
        <f ca="1">ReplaceValuesUDF(E11,"Sheet2")</f>
        <v>#NAME?</v>
      </c>
      <c r="G11" s="47" t="s">
        <v>48</v>
      </c>
      <c r="H11" s="46" t="e">
        <f t="shared" ca="1" si="0"/>
        <v>#NAME?</v>
      </c>
      <c r="I11" s="52"/>
      <c r="J11" s="47" t="s">
        <v>49</v>
      </c>
      <c r="K11" s="46" t="e">
        <f t="shared" ca="1" si="1"/>
        <v>#NAME?</v>
      </c>
      <c r="L11" s="47" t="s">
        <v>50</v>
      </c>
      <c r="M11" s="46" t="e">
        <f ca="1">ReplaceValuesUDF(L11,"Sheet2")</f>
        <v>#NAME?</v>
      </c>
      <c r="N11" s="53"/>
      <c r="O11" s="46" t="e">
        <f ca="1">ReplaceValuesUDF(N11,"Sheet2")</f>
        <v>#NAME?</v>
      </c>
      <c r="P11" s="34"/>
      <c r="Q11" s="34"/>
    </row>
    <row r="12" spans="1:23" s="40" customFormat="1" ht="60.9" customHeight="1" x14ac:dyDescent="0.25">
      <c r="A12" s="7">
        <v>10045</v>
      </c>
      <c r="B12" s="42" t="s">
        <v>51</v>
      </c>
      <c r="C12" s="33"/>
      <c r="D12" s="33"/>
      <c r="E12" s="33"/>
      <c r="F12" s="45"/>
      <c r="G12" s="44" t="s">
        <v>52</v>
      </c>
      <c r="H12" s="45"/>
      <c r="I12" s="54"/>
      <c r="J12" s="44" t="s">
        <v>53</v>
      </c>
      <c r="K12" s="2"/>
      <c r="L12" s="44"/>
      <c r="M12" s="45"/>
      <c r="N12" s="55"/>
      <c r="O12" s="45"/>
      <c r="P12" s="33"/>
      <c r="Q12" s="33"/>
    </row>
    <row r="13" spans="1:23" ht="84" customHeight="1" x14ac:dyDescent="0.25">
      <c r="A13" s="7">
        <v>20010</v>
      </c>
      <c r="B13" s="42" t="s">
        <v>54</v>
      </c>
      <c r="C13" s="7"/>
      <c r="D13" s="7"/>
      <c r="E13" s="7"/>
      <c r="F13" s="2" t="e">
        <f ca="1">ReplaceValuesUDF(E13,"Sheet2")</f>
        <v>#NAME?</v>
      </c>
      <c r="G13" s="1" t="s">
        <v>55</v>
      </c>
      <c r="H13" s="2" t="e">
        <f t="shared" ref="H13:H20" ca="1" si="2">ReplaceValuesUDF(G13,"Sheet2")</f>
        <v>#NAME?</v>
      </c>
      <c r="I13" s="13"/>
      <c r="J13" s="13" t="s">
        <v>56</v>
      </c>
      <c r="K13" s="2" t="e">
        <f t="shared" ref="K13:K20" ca="1" si="3">ReplaceValuesUDF(J13,"Sheet2")</f>
        <v>#NAME?</v>
      </c>
      <c r="L13" s="1" t="s">
        <v>57</v>
      </c>
      <c r="M13" s="2" t="e">
        <f t="shared" ref="M13:M20" ca="1" si="4">ReplaceValuesUDF(L13,"Sheet2")</f>
        <v>#NAME?</v>
      </c>
      <c r="N13" s="20"/>
      <c r="O13" s="2" t="e">
        <f t="shared" ref="O13:O20" ca="1" si="5">ReplaceValuesUDF(N13,"Sheet2")</f>
        <v>#NAME?</v>
      </c>
      <c r="P13" s="7"/>
      <c r="Q13" s="7"/>
    </row>
    <row r="14" spans="1:23" x14ac:dyDescent="0.25">
      <c r="A14" s="7">
        <v>20040</v>
      </c>
      <c r="B14" s="2" t="s">
        <v>58</v>
      </c>
      <c r="C14" s="7"/>
      <c r="D14" s="7"/>
      <c r="E14" s="7"/>
      <c r="F14" s="2"/>
      <c r="G14" s="1" t="s">
        <v>59</v>
      </c>
      <c r="H14" s="2" t="e">
        <f t="shared" ca="1" si="2"/>
        <v>#NAME?</v>
      </c>
      <c r="I14" s="13"/>
      <c r="J14" s="13" t="s">
        <v>60</v>
      </c>
      <c r="K14" s="2" t="e">
        <f t="shared" ca="1" si="3"/>
        <v>#NAME?</v>
      </c>
      <c r="L14" s="1"/>
      <c r="M14" s="2" t="e">
        <f t="shared" ca="1" si="4"/>
        <v>#NAME?</v>
      </c>
      <c r="N14" s="20"/>
      <c r="O14" s="2" t="e">
        <f t="shared" ca="1" si="5"/>
        <v>#NAME?</v>
      </c>
      <c r="P14" s="7"/>
      <c r="Q14" s="7"/>
    </row>
    <row r="15" spans="1:23" ht="172.8" x14ac:dyDescent="0.25">
      <c r="A15" s="7">
        <v>20050</v>
      </c>
      <c r="B15" s="2" t="s">
        <v>61</v>
      </c>
      <c r="C15" s="7"/>
      <c r="D15" s="7"/>
      <c r="E15" s="7"/>
      <c r="F15" s="2" t="e">
        <f ca="1">ReplaceValuesUDF(E15,"Sheet2")</f>
        <v>#NAME?</v>
      </c>
      <c r="G15" s="1" t="s">
        <v>62</v>
      </c>
      <c r="H15" s="2" t="e">
        <f t="shared" ca="1" si="2"/>
        <v>#NAME?</v>
      </c>
      <c r="I15" s="13"/>
      <c r="J15" s="1" t="s">
        <v>63</v>
      </c>
      <c r="K15" s="2" t="e">
        <f t="shared" ca="1" si="3"/>
        <v>#NAME?</v>
      </c>
      <c r="L15" s="1"/>
      <c r="M15" s="2" t="e">
        <f t="shared" ca="1" si="4"/>
        <v>#NAME?</v>
      </c>
      <c r="N15" s="20"/>
      <c r="O15" s="2" t="e">
        <f t="shared" ca="1" si="5"/>
        <v>#NAME?</v>
      </c>
      <c r="P15" s="7"/>
      <c r="Q15" s="7"/>
    </row>
    <row r="16" spans="1:23" x14ac:dyDescent="0.25">
      <c r="A16" s="7">
        <v>20060</v>
      </c>
      <c r="B16" s="2" t="s">
        <v>64</v>
      </c>
      <c r="C16" s="7"/>
      <c r="D16" s="7"/>
      <c r="E16" s="7"/>
      <c r="F16" s="2" t="e">
        <f ca="1">ReplaceValuesUDF(E16,"Sheet2")</f>
        <v>#NAME?</v>
      </c>
      <c r="G16" s="1" t="s">
        <v>65</v>
      </c>
      <c r="H16" s="2" t="e">
        <f t="shared" ca="1" si="2"/>
        <v>#NAME?</v>
      </c>
      <c r="I16" s="13"/>
      <c r="J16" s="13" t="s">
        <v>66</v>
      </c>
      <c r="K16" s="2" t="e">
        <f t="shared" ca="1" si="3"/>
        <v>#NAME?</v>
      </c>
      <c r="L16" s="1"/>
      <c r="M16" s="2" t="e">
        <f t="shared" ca="1" si="4"/>
        <v>#NAME?</v>
      </c>
      <c r="N16" s="20"/>
      <c r="O16" s="2" t="e">
        <f t="shared" ca="1" si="5"/>
        <v>#NAME?</v>
      </c>
      <c r="P16" s="7"/>
      <c r="Q16" s="7"/>
    </row>
    <row r="17" spans="1:17" x14ac:dyDescent="0.25">
      <c r="A17" s="7">
        <v>20070</v>
      </c>
      <c r="B17" s="2" t="s">
        <v>67</v>
      </c>
      <c r="C17" s="7"/>
      <c r="D17" s="7"/>
      <c r="E17" s="7"/>
      <c r="F17" s="2" t="e">
        <f ca="1">ReplaceValuesUDF(E17,"Sheet2")</f>
        <v>#NAME?</v>
      </c>
      <c r="G17" s="1" t="s">
        <v>68</v>
      </c>
      <c r="H17" s="2" t="e">
        <f t="shared" ca="1" si="2"/>
        <v>#NAME?</v>
      </c>
      <c r="I17" s="13"/>
      <c r="J17" s="13" t="s">
        <v>69</v>
      </c>
      <c r="K17" s="2" t="e">
        <f t="shared" ca="1" si="3"/>
        <v>#NAME?</v>
      </c>
      <c r="L17" s="1"/>
      <c r="M17" s="2" t="e">
        <f t="shared" ca="1" si="4"/>
        <v>#NAME?</v>
      </c>
      <c r="N17" s="20"/>
      <c r="O17" s="2" t="e">
        <f t="shared" ca="1" si="5"/>
        <v>#NAME?</v>
      </c>
      <c r="P17" s="7"/>
      <c r="Q17" s="7"/>
    </row>
    <row r="18" spans="1:17" x14ac:dyDescent="0.25">
      <c r="A18" s="7">
        <v>20080</v>
      </c>
      <c r="B18" s="2" t="s">
        <v>70</v>
      </c>
      <c r="C18" s="7"/>
      <c r="D18" s="7"/>
      <c r="E18" s="7"/>
      <c r="F18" s="2" t="e">
        <f ca="1">ReplaceValuesUDF(E18,"Sheet2")</f>
        <v>#NAME?</v>
      </c>
      <c r="G18" s="1" t="s">
        <v>71</v>
      </c>
      <c r="H18" s="2" t="e">
        <f t="shared" ca="1" si="2"/>
        <v>#NAME?</v>
      </c>
      <c r="I18" s="13"/>
      <c r="J18" s="13" t="s">
        <v>72</v>
      </c>
      <c r="K18" s="2" t="e">
        <f t="shared" ca="1" si="3"/>
        <v>#NAME?</v>
      </c>
      <c r="L18" s="1"/>
      <c r="M18" s="2" t="e">
        <f t="shared" ca="1" si="4"/>
        <v>#NAME?</v>
      </c>
      <c r="N18" s="20"/>
      <c r="O18" s="2" t="e">
        <f t="shared" ca="1" si="5"/>
        <v>#NAME?</v>
      </c>
      <c r="P18" s="7"/>
      <c r="Q18" s="7"/>
    </row>
    <row r="19" spans="1:17" x14ac:dyDescent="0.25">
      <c r="A19" s="7">
        <v>20090</v>
      </c>
      <c r="B19" s="2" t="s">
        <v>73</v>
      </c>
      <c r="C19" s="7"/>
      <c r="D19" s="7"/>
      <c r="E19" s="7"/>
      <c r="F19" s="2" t="e">
        <f ca="1">ReplaceValuesUDF(E19,"Sheet2")</f>
        <v>#NAME?</v>
      </c>
      <c r="G19" s="1" t="s">
        <v>74</v>
      </c>
      <c r="H19" s="2" t="e">
        <f t="shared" ca="1" si="2"/>
        <v>#NAME?</v>
      </c>
      <c r="I19" s="13"/>
      <c r="J19" s="13" t="s">
        <v>75</v>
      </c>
      <c r="K19" s="2" t="e">
        <f t="shared" ca="1" si="3"/>
        <v>#NAME?</v>
      </c>
      <c r="L19" s="1"/>
      <c r="M19" s="2" t="e">
        <f t="shared" ca="1" si="4"/>
        <v>#NAME?</v>
      </c>
      <c r="N19" s="20"/>
      <c r="O19" s="2" t="e">
        <f t="shared" ca="1" si="5"/>
        <v>#NAME?</v>
      </c>
      <c r="P19" s="7"/>
      <c r="Q19" s="7"/>
    </row>
    <row r="20" spans="1:17" x14ac:dyDescent="0.25">
      <c r="A20" s="7">
        <v>20100</v>
      </c>
      <c r="B20" s="2" t="s">
        <v>76</v>
      </c>
      <c r="C20" s="7"/>
      <c r="D20" s="7"/>
      <c r="E20" s="7"/>
      <c r="F20" s="2"/>
      <c r="G20" s="1" t="s">
        <v>77</v>
      </c>
      <c r="H20" s="2" t="e">
        <f t="shared" ca="1" si="2"/>
        <v>#NAME?</v>
      </c>
      <c r="I20" s="13"/>
      <c r="J20" s="13" t="s">
        <v>78</v>
      </c>
      <c r="K20" s="2" t="e">
        <f t="shared" ca="1" si="3"/>
        <v>#NAME?</v>
      </c>
      <c r="L20" s="1"/>
      <c r="M20" s="2" t="e">
        <f t="shared" ca="1" si="4"/>
        <v>#NAME?</v>
      </c>
      <c r="N20" s="20"/>
      <c r="O20" s="2" t="e">
        <f t="shared" ca="1" si="5"/>
        <v>#NAME?</v>
      </c>
      <c r="P20" s="7"/>
      <c r="Q20" s="7"/>
    </row>
    <row r="21" spans="1:17" x14ac:dyDescent="0.25">
      <c r="A21" s="7">
        <v>20110</v>
      </c>
      <c r="B21" s="2" t="s">
        <v>79</v>
      </c>
      <c r="C21" s="7"/>
      <c r="D21" s="7"/>
      <c r="E21" s="7"/>
      <c r="F21" s="2"/>
      <c r="G21" s="1" t="s">
        <v>80</v>
      </c>
      <c r="H21" s="2"/>
      <c r="I21" s="13"/>
      <c r="J21" s="13" t="s">
        <v>81</v>
      </c>
      <c r="K21" s="2"/>
      <c r="L21" s="1"/>
      <c r="M21" s="2"/>
      <c r="N21" s="20"/>
      <c r="O21" s="2"/>
      <c r="P21" s="7"/>
      <c r="Q21" s="7"/>
    </row>
    <row r="22" spans="1:17" ht="252.9" customHeight="1" x14ac:dyDescent="0.25">
      <c r="A22" s="7">
        <v>30010</v>
      </c>
      <c r="B22" s="2" t="s">
        <v>82</v>
      </c>
      <c r="C22" s="7"/>
      <c r="D22" s="7"/>
      <c r="E22" s="7"/>
      <c r="F22" s="2" t="e">
        <f t="shared" ref="F22:F44" ca="1" si="6">ReplaceValuesUDF(E22,"Sheet2")</f>
        <v>#NAME?</v>
      </c>
      <c r="G22" s="1" t="s">
        <v>83</v>
      </c>
      <c r="H22" s="2" t="e">
        <f t="shared" ref="H22:H68" ca="1" si="7">ReplaceValuesUDF(G22,"Sheet2")</f>
        <v>#NAME?</v>
      </c>
      <c r="I22" s="13"/>
      <c r="J22" s="1" t="s">
        <v>84</v>
      </c>
      <c r="K22" s="2" t="e">
        <f t="shared" ref="K22:K68" ca="1" si="8">ReplaceValuesUDF(J22,"Sheet2")</f>
        <v>#NAME?</v>
      </c>
      <c r="L22" s="1"/>
      <c r="M22" s="2" t="e">
        <f t="shared" ref="M22:M46" ca="1" si="9">ReplaceValuesUDF(L22,"Sheet2")</f>
        <v>#NAME?</v>
      </c>
      <c r="N22" s="20"/>
      <c r="O22" s="2" t="e">
        <f t="shared" ref="O22:O44" ca="1" si="10">ReplaceValuesUDF(N22,"Sheet2")</f>
        <v>#NAME?</v>
      </c>
      <c r="P22" s="7"/>
      <c r="Q22" s="7"/>
    </row>
    <row r="23" spans="1:17" ht="59.1" customHeight="1" x14ac:dyDescent="0.25">
      <c r="A23" s="7">
        <v>30020</v>
      </c>
      <c r="B23" s="2" t="s">
        <v>85</v>
      </c>
      <c r="C23" s="7"/>
      <c r="D23" s="7"/>
      <c r="E23" s="7"/>
      <c r="F23" s="2" t="e">
        <f t="shared" ca="1" si="6"/>
        <v>#NAME?</v>
      </c>
      <c r="G23" s="1" t="s">
        <v>86</v>
      </c>
      <c r="H23" s="2" t="e">
        <f t="shared" ca="1" si="7"/>
        <v>#NAME?</v>
      </c>
      <c r="I23" s="13"/>
      <c r="J23" s="13" t="s">
        <v>87</v>
      </c>
      <c r="K23" s="2" t="e">
        <f t="shared" ca="1" si="8"/>
        <v>#NAME?</v>
      </c>
      <c r="L23" s="58" t="s">
        <v>1100</v>
      </c>
      <c r="M23" s="2" t="e">
        <f t="shared" ca="1" si="9"/>
        <v>#NAME?</v>
      </c>
      <c r="N23" s="20"/>
      <c r="O23" s="2" t="e">
        <f t="shared" ca="1" si="10"/>
        <v>#NAME?</v>
      </c>
      <c r="P23" s="7"/>
      <c r="Q23" s="7"/>
    </row>
    <row r="24" spans="1:17" ht="28.8" x14ac:dyDescent="0.25">
      <c r="A24" s="7">
        <v>30030</v>
      </c>
      <c r="B24" s="2" t="s">
        <v>88</v>
      </c>
      <c r="C24" s="7"/>
      <c r="D24" s="7"/>
      <c r="E24" s="7"/>
      <c r="F24" s="2" t="e">
        <f t="shared" ca="1" si="6"/>
        <v>#NAME?</v>
      </c>
      <c r="G24" s="1" t="s">
        <v>89</v>
      </c>
      <c r="H24" s="2" t="e">
        <f t="shared" ca="1" si="7"/>
        <v>#NAME?</v>
      </c>
      <c r="I24" s="13"/>
      <c r="J24" s="1" t="s">
        <v>90</v>
      </c>
      <c r="K24" s="2" t="e">
        <f t="shared" ca="1" si="8"/>
        <v>#NAME?</v>
      </c>
      <c r="L24" s="1"/>
      <c r="M24" s="2" t="e">
        <f t="shared" ca="1" si="9"/>
        <v>#NAME?</v>
      </c>
      <c r="N24" s="20" t="s">
        <v>91</v>
      </c>
      <c r="O24" s="2" t="e">
        <f t="shared" ca="1" si="10"/>
        <v>#NAME?</v>
      </c>
      <c r="P24" s="7"/>
      <c r="Q24" s="7"/>
    </row>
    <row r="25" spans="1:17" x14ac:dyDescent="0.25">
      <c r="A25" s="7">
        <v>30040</v>
      </c>
      <c r="B25" s="2" t="s">
        <v>92</v>
      </c>
      <c r="C25" s="7"/>
      <c r="D25" s="7"/>
      <c r="E25" s="7"/>
      <c r="F25" s="2" t="e">
        <f t="shared" ca="1" si="6"/>
        <v>#NAME?</v>
      </c>
      <c r="G25" s="1" t="s">
        <v>93</v>
      </c>
      <c r="H25" s="2" t="e">
        <f t="shared" ca="1" si="7"/>
        <v>#NAME?</v>
      </c>
      <c r="I25" s="13"/>
      <c r="J25" s="13" t="s">
        <v>94</v>
      </c>
      <c r="K25" s="2" t="e">
        <f t="shared" ca="1" si="8"/>
        <v>#NAME?</v>
      </c>
      <c r="L25" s="13" t="s">
        <v>95</v>
      </c>
      <c r="M25" s="2" t="e">
        <f t="shared" ca="1" si="9"/>
        <v>#NAME?</v>
      </c>
      <c r="N25" s="20"/>
      <c r="O25" s="2" t="e">
        <f t="shared" ca="1" si="10"/>
        <v>#NAME?</v>
      </c>
      <c r="P25" s="7"/>
      <c r="Q25" s="7"/>
    </row>
    <row r="26" spans="1:17" x14ac:dyDescent="0.25">
      <c r="A26" s="7">
        <v>30050</v>
      </c>
      <c r="B26" s="2" t="s">
        <v>96</v>
      </c>
      <c r="C26" s="7"/>
      <c r="D26" s="7"/>
      <c r="E26" s="7"/>
      <c r="F26" s="2" t="e">
        <f t="shared" ca="1" si="6"/>
        <v>#NAME?</v>
      </c>
      <c r="G26" s="1" t="s">
        <v>97</v>
      </c>
      <c r="H26" s="2" t="e">
        <f t="shared" ca="1" si="7"/>
        <v>#NAME?</v>
      </c>
      <c r="I26" s="13"/>
      <c r="J26" s="13" t="s">
        <v>98</v>
      </c>
      <c r="K26" s="2" t="e">
        <f t="shared" ca="1" si="8"/>
        <v>#NAME?</v>
      </c>
      <c r="L26" s="58" t="s">
        <v>1101</v>
      </c>
      <c r="M26" s="2" t="e">
        <f t="shared" ca="1" si="9"/>
        <v>#NAME?</v>
      </c>
      <c r="N26" s="20"/>
      <c r="O26" s="2" t="e">
        <f t="shared" ca="1" si="10"/>
        <v>#NAME?</v>
      </c>
      <c r="P26" s="7"/>
      <c r="Q26" s="7"/>
    </row>
    <row r="27" spans="1:17" x14ac:dyDescent="0.25">
      <c r="A27" s="7">
        <v>30060</v>
      </c>
      <c r="B27" s="2" t="s">
        <v>99</v>
      </c>
      <c r="C27" s="7"/>
      <c r="D27" s="7"/>
      <c r="E27" s="7"/>
      <c r="F27" s="2" t="e">
        <f t="shared" ca="1" si="6"/>
        <v>#NAME?</v>
      </c>
      <c r="G27" s="1" t="s">
        <v>100</v>
      </c>
      <c r="H27" s="2" t="e">
        <f t="shared" ca="1" si="7"/>
        <v>#NAME?</v>
      </c>
      <c r="I27" s="13"/>
      <c r="J27" s="13" t="s">
        <v>101</v>
      </c>
      <c r="K27" s="2" t="e">
        <f t="shared" ca="1" si="8"/>
        <v>#NAME?</v>
      </c>
      <c r="L27" s="1"/>
      <c r="M27" s="2" t="e">
        <f t="shared" ca="1" si="9"/>
        <v>#NAME?</v>
      </c>
      <c r="N27" s="20"/>
      <c r="O27" s="2" t="e">
        <f t="shared" ca="1" si="10"/>
        <v>#NAME?</v>
      </c>
      <c r="P27" s="7"/>
      <c r="Q27" s="7"/>
    </row>
    <row r="28" spans="1:17" ht="172.8" x14ac:dyDescent="0.25">
      <c r="A28" s="7">
        <v>30070</v>
      </c>
      <c r="B28" s="2" t="s">
        <v>102</v>
      </c>
      <c r="C28" s="7"/>
      <c r="D28" s="7"/>
      <c r="E28" s="7"/>
      <c r="F28" s="2" t="e">
        <f t="shared" ca="1" si="6"/>
        <v>#NAME?</v>
      </c>
      <c r="G28" s="1" t="s">
        <v>103</v>
      </c>
      <c r="H28" s="2" t="e">
        <f t="shared" ca="1" si="7"/>
        <v>#NAME?</v>
      </c>
      <c r="I28" s="13"/>
      <c r="J28" s="1" t="s">
        <v>104</v>
      </c>
      <c r="K28" s="2" t="e">
        <f t="shared" ca="1" si="8"/>
        <v>#NAME?</v>
      </c>
      <c r="L28" s="1"/>
      <c r="M28" s="2" t="e">
        <f t="shared" ca="1" si="9"/>
        <v>#NAME?</v>
      </c>
      <c r="N28" s="20"/>
      <c r="O28" s="2" t="e">
        <f t="shared" ca="1" si="10"/>
        <v>#NAME?</v>
      </c>
      <c r="P28" s="7"/>
      <c r="Q28" s="7"/>
    </row>
    <row r="29" spans="1:17" ht="87" customHeight="1" x14ac:dyDescent="0.25">
      <c r="A29" s="7">
        <v>40010</v>
      </c>
      <c r="B29" s="2" t="s">
        <v>105</v>
      </c>
      <c r="C29" s="7"/>
      <c r="D29" s="7"/>
      <c r="E29" s="7"/>
      <c r="F29" s="2" t="e">
        <f t="shared" ca="1" si="6"/>
        <v>#NAME?</v>
      </c>
      <c r="G29" s="1" t="s">
        <v>106</v>
      </c>
      <c r="H29" s="2" t="e">
        <f t="shared" ca="1" si="7"/>
        <v>#NAME?</v>
      </c>
      <c r="I29" s="13"/>
      <c r="J29" s="1" t="s">
        <v>107</v>
      </c>
      <c r="K29" s="2" t="e">
        <f t="shared" ca="1" si="8"/>
        <v>#NAME?</v>
      </c>
      <c r="L29" s="1"/>
      <c r="M29" s="2" t="e">
        <f t="shared" ca="1" si="9"/>
        <v>#NAME?</v>
      </c>
      <c r="N29" s="13">
        <v>3020</v>
      </c>
      <c r="O29" s="2" t="e">
        <f t="shared" ca="1" si="10"/>
        <v>#NAME?</v>
      </c>
      <c r="P29" s="7"/>
      <c r="Q29" s="7"/>
    </row>
    <row r="30" spans="1:17" x14ac:dyDescent="0.25">
      <c r="A30" s="7">
        <v>40020</v>
      </c>
      <c r="B30" s="2" t="s">
        <v>108</v>
      </c>
      <c r="C30" s="7"/>
      <c r="D30" s="7"/>
      <c r="E30" s="7"/>
      <c r="F30" s="2" t="e">
        <f t="shared" ca="1" si="6"/>
        <v>#NAME?</v>
      </c>
      <c r="G30" s="1" t="s">
        <v>109</v>
      </c>
      <c r="H30" s="2" t="e">
        <f t="shared" ca="1" si="7"/>
        <v>#NAME?</v>
      </c>
      <c r="I30" s="13"/>
      <c r="J30" s="1" t="s">
        <v>110</v>
      </c>
      <c r="K30" s="2" t="e">
        <f t="shared" ca="1" si="8"/>
        <v>#NAME?</v>
      </c>
      <c r="L30" s="1"/>
      <c r="M30" s="2" t="e">
        <f t="shared" ca="1" si="9"/>
        <v>#NAME?</v>
      </c>
      <c r="N30" s="20" t="s">
        <v>111</v>
      </c>
      <c r="O30" s="2" t="e">
        <f t="shared" ca="1" si="10"/>
        <v>#NAME?</v>
      </c>
      <c r="P30" s="7"/>
      <c r="Q30" s="7"/>
    </row>
    <row r="31" spans="1:17" x14ac:dyDescent="0.25">
      <c r="A31" s="7">
        <v>40030</v>
      </c>
      <c r="B31" s="2" t="s">
        <v>112</v>
      </c>
      <c r="C31" s="7"/>
      <c r="D31" s="7"/>
      <c r="E31" s="7"/>
      <c r="F31" s="2" t="e">
        <f t="shared" ca="1" si="6"/>
        <v>#NAME?</v>
      </c>
      <c r="G31" s="1" t="s">
        <v>113</v>
      </c>
      <c r="H31" s="2" t="e">
        <f t="shared" ca="1" si="7"/>
        <v>#NAME?</v>
      </c>
      <c r="I31" s="13"/>
      <c r="J31" s="1" t="s">
        <v>114</v>
      </c>
      <c r="K31" s="2" t="e">
        <f t="shared" ca="1" si="8"/>
        <v>#NAME?</v>
      </c>
      <c r="L31" s="1"/>
      <c r="M31" s="2" t="e">
        <f t="shared" ca="1" si="9"/>
        <v>#NAME?</v>
      </c>
      <c r="N31" s="20" t="s">
        <v>115</v>
      </c>
      <c r="O31" s="2" t="e">
        <f t="shared" ca="1" si="10"/>
        <v>#NAME?</v>
      </c>
      <c r="P31" s="7"/>
      <c r="Q31" s="7"/>
    </row>
    <row r="32" spans="1:17" s="41" customFormat="1" ht="28.8" x14ac:dyDescent="0.25">
      <c r="A32" s="48">
        <v>40040</v>
      </c>
      <c r="B32" s="49" t="s">
        <v>116</v>
      </c>
      <c r="C32" s="48"/>
      <c r="D32" s="48"/>
      <c r="E32" s="48"/>
      <c r="F32" s="49" t="e">
        <f t="shared" ca="1" si="6"/>
        <v>#NAME?</v>
      </c>
      <c r="G32" s="50" t="s">
        <v>117</v>
      </c>
      <c r="H32" s="49" t="e">
        <f t="shared" ca="1" si="7"/>
        <v>#NAME?</v>
      </c>
      <c r="I32" s="56"/>
      <c r="J32" s="50" t="s">
        <v>118</v>
      </c>
      <c r="K32" s="49" t="e">
        <f t="shared" ca="1" si="8"/>
        <v>#NAME?</v>
      </c>
      <c r="L32" s="50"/>
      <c r="M32" s="49" t="e">
        <f t="shared" ca="1" si="9"/>
        <v>#NAME?</v>
      </c>
      <c r="N32" s="57"/>
      <c r="O32" s="49" t="e">
        <f t="shared" ca="1" si="10"/>
        <v>#NAME?</v>
      </c>
      <c r="P32" s="48"/>
      <c r="Q32" s="48"/>
    </row>
    <row r="33" spans="1:23" x14ac:dyDescent="0.25">
      <c r="A33" s="7">
        <v>40050</v>
      </c>
      <c r="B33" s="2" t="s">
        <v>119</v>
      </c>
      <c r="C33" s="7"/>
      <c r="D33" s="7"/>
      <c r="E33" s="7"/>
      <c r="F33" s="2" t="e">
        <f t="shared" ca="1" si="6"/>
        <v>#NAME?</v>
      </c>
      <c r="G33" s="1" t="s">
        <v>120</v>
      </c>
      <c r="H33" s="2" t="e">
        <f t="shared" ca="1" si="7"/>
        <v>#NAME?</v>
      </c>
      <c r="I33" s="13"/>
      <c r="J33" s="1" t="s">
        <v>121</v>
      </c>
      <c r="K33" s="2" t="e">
        <f t="shared" ca="1" si="8"/>
        <v>#NAME?</v>
      </c>
      <c r="L33" s="1"/>
      <c r="M33" s="2" t="e">
        <f t="shared" ca="1" si="9"/>
        <v>#NAME?</v>
      </c>
      <c r="N33" s="20" t="s">
        <v>122</v>
      </c>
      <c r="O33" s="2" t="e">
        <f t="shared" ca="1" si="10"/>
        <v>#NAME?</v>
      </c>
      <c r="P33" s="7"/>
      <c r="Q33" s="7"/>
    </row>
    <row r="34" spans="1:23" ht="68.099999999999994" customHeight="1" x14ac:dyDescent="0.25">
      <c r="A34" s="7">
        <v>40060</v>
      </c>
      <c r="B34" s="42" t="s">
        <v>123</v>
      </c>
      <c r="C34" s="7"/>
      <c r="D34" s="7"/>
      <c r="E34" s="7"/>
      <c r="F34" s="2" t="e">
        <f t="shared" ca="1" si="6"/>
        <v>#NAME?</v>
      </c>
      <c r="G34" s="1" t="s">
        <v>124</v>
      </c>
      <c r="H34" s="2" t="e">
        <f t="shared" ca="1" si="7"/>
        <v>#NAME?</v>
      </c>
      <c r="I34" s="13"/>
      <c r="J34" s="1" t="s">
        <v>125</v>
      </c>
      <c r="K34" s="2" t="e">
        <f t="shared" ca="1" si="8"/>
        <v>#NAME?</v>
      </c>
      <c r="L34" s="1" t="s">
        <v>126</v>
      </c>
      <c r="M34" s="2" t="e">
        <f t="shared" ca="1" si="9"/>
        <v>#NAME?</v>
      </c>
      <c r="N34" s="20"/>
      <c r="O34" s="2" t="e">
        <f t="shared" ca="1" si="10"/>
        <v>#NAME?</v>
      </c>
      <c r="P34" s="7"/>
      <c r="Q34" s="7"/>
    </row>
    <row r="35" spans="1:23" x14ac:dyDescent="0.25">
      <c r="A35" s="7">
        <v>40070</v>
      </c>
      <c r="B35" s="2" t="s">
        <v>127</v>
      </c>
      <c r="C35" s="7"/>
      <c r="D35" s="7"/>
      <c r="E35" s="7"/>
      <c r="F35" s="2" t="e">
        <f t="shared" ca="1" si="6"/>
        <v>#NAME?</v>
      </c>
      <c r="G35" s="1" t="s">
        <v>128</v>
      </c>
      <c r="H35" s="2" t="e">
        <f t="shared" ca="1" si="7"/>
        <v>#NAME?</v>
      </c>
      <c r="I35" s="13"/>
      <c r="J35" s="1" t="s">
        <v>129</v>
      </c>
      <c r="K35" s="2" t="e">
        <f t="shared" ca="1" si="8"/>
        <v>#NAME?</v>
      </c>
      <c r="L35" s="1"/>
      <c r="M35" s="2" t="e">
        <f t="shared" ca="1" si="9"/>
        <v>#NAME?</v>
      </c>
      <c r="N35" s="20"/>
      <c r="O35" s="2" t="e">
        <f t="shared" ca="1" si="10"/>
        <v>#NAME?</v>
      </c>
      <c r="P35" s="7"/>
      <c r="Q35" s="7"/>
    </row>
    <row r="36" spans="1:23" x14ac:dyDescent="0.25">
      <c r="A36" s="7">
        <v>40080</v>
      </c>
      <c r="B36" s="2" t="s">
        <v>130</v>
      </c>
      <c r="C36" s="7"/>
      <c r="D36" s="7"/>
      <c r="E36" s="7"/>
      <c r="F36" s="2" t="e">
        <f t="shared" ca="1" si="6"/>
        <v>#NAME?</v>
      </c>
      <c r="G36" s="1" t="s">
        <v>131</v>
      </c>
      <c r="H36" s="2" t="e">
        <f t="shared" ca="1" si="7"/>
        <v>#NAME?</v>
      </c>
      <c r="I36" s="13"/>
      <c r="J36" s="1" t="s">
        <v>132</v>
      </c>
      <c r="K36" s="2" t="e">
        <f t="shared" ca="1" si="8"/>
        <v>#NAME?</v>
      </c>
      <c r="L36" s="1"/>
      <c r="M36" s="2" t="e">
        <f t="shared" ca="1" si="9"/>
        <v>#NAME?</v>
      </c>
      <c r="N36" s="20"/>
      <c r="O36" s="2" t="e">
        <f t="shared" ca="1" si="10"/>
        <v>#NAME?</v>
      </c>
      <c r="P36" s="7"/>
      <c r="Q36" s="7"/>
    </row>
    <row r="37" spans="1:23" ht="28.8" x14ac:dyDescent="0.25">
      <c r="A37" s="7">
        <v>40090</v>
      </c>
      <c r="B37" s="2" t="s">
        <v>133</v>
      </c>
      <c r="C37" s="7"/>
      <c r="D37" s="7"/>
      <c r="E37" s="7"/>
      <c r="F37" s="2" t="e">
        <f t="shared" ca="1" si="6"/>
        <v>#NAME?</v>
      </c>
      <c r="G37" s="1" t="s">
        <v>134</v>
      </c>
      <c r="H37" s="2" t="e">
        <f t="shared" ca="1" si="7"/>
        <v>#NAME?</v>
      </c>
      <c r="I37" s="13"/>
      <c r="J37" s="1" t="s">
        <v>135</v>
      </c>
      <c r="K37" s="2" t="e">
        <f t="shared" ca="1" si="8"/>
        <v>#NAME?</v>
      </c>
      <c r="L37" s="1"/>
      <c r="M37" s="2" t="e">
        <f t="shared" ca="1" si="9"/>
        <v>#NAME?</v>
      </c>
      <c r="N37" s="20"/>
      <c r="O37" s="2" t="e">
        <f t="shared" ca="1" si="10"/>
        <v>#NAME?</v>
      </c>
      <c r="P37" s="7"/>
      <c r="Q37" s="7"/>
    </row>
    <row r="38" spans="1:23" x14ac:dyDescent="0.25">
      <c r="A38" s="7">
        <v>40091</v>
      </c>
      <c r="B38" s="2" t="s">
        <v>136</v>
      </c>
      <c r="C38" s="7"/>
      <c r="D38" s="7"/>
      <c r="E38" s="7"/>
      <c r="F38" s="2" t="e">
        <f t="shared" ca="1" si="6"/>
        <v>#NAME?</v>
      </c>
      <c r="G38" s="1" t="s">
        <v>137</v>
      </c>
      <c r="H38" s="2" t="e">
        <f t="shared" ca="1" si="7"/>
        <v>#NAME?</v>
      </c>
      <c r="I38" s="13"/>
      <c r="J38" s="1" t="s">
        <v>138</v>
      </c>
      <c r="K38" s="2" t="e">
        <f t="shared" ca="1" si="8"/>
        <v>#NAME?</v>
      </c>
      <c r="L38" s="1"/>
      <c r="M38" s="2" t="e">
        <f t="shared" ca="1" si="9"/>
        <v>#NAME?</v>
      </c>
      <c r="N38" s="20"/>
      <c r="O38" s="2" t="e">
        <f t="shared" ca="1" si="10"/>
        <v>#NAME?</v>
      </c>
      <c r="P38" s="7"/>
      <c r="Q38" s="7"/>
    </row>
    <row r="39" spans="1:23" x14ac:dyDescent="0.25">
      <c r="A39" s="7">
        <v>40092</v>
      </c>
      <c r="B39" s="2" t="s">
        <v>139</v>
      </c>
      <c r="C39" s="7"/>
      <c r="D39" s="7"/>
      <c r="E39" s="7"/>
      <c r="F39" s="2" t="e">
        <f t="shared" ca="1" si="6"/>
        <v>#NAME?</v>
      </c>
      <c r="G39" s="1" t="s">
        <v>140</v>
      </c>
      <c r="H39" s="2" t="e">
        <f t="shared" ca="1" si="7"/>
        <v>#NAME?</v>
      </c>
      <c r="I39" s="13"/>
      <c r="J39" s="1" t="s">
        <v>141</v>
      </c>
      <c r="K39" s="2" t="e">
        <f t="shared" ca="1" si="8"/>
        <v>#NAME?</v>
      </c>
      <c r="L39" s="1"/>
      <c r="M39" s="2" t="e">
        <f t="shared" ca="1" si="9"/>
        <v>#NAME?</v>
      </c>
      <c r="N39" s="20"/>
      <c r="O39" s="2" t="e">
        <f t="shared" ca="1" si="10"/>
        <v>#NAME?</v>
      </c>
      <c r="P39" s="7"/>
      <c r="Q39" s="7"/>
    </row>
    <row r="40" spans="1:23" ht="72" x14ac:dyDescent="0.25">
      <c r="A40" s="7">
        <v>40100</v>
      </c>
      <c r="B40" s="2" t="s">
        <v>142</v>
      </c>
      <c r="C40" s="7"/>
      <c r="D40" s="7"/>
      <c r="E40" s="7"/>
      <c r="F40" s="2" t="e">
        <f t="shared" ca="1" si="6"/>
        <v>#NAME?</v>
      </c>
      <c r="G40" s="1" t="s">
        <v>143</v>
      </c>
      <c r="H40" s="2" t="e">
        <f t="shared" ca="1" si="7"/>
        <v>#NAME?</v>
      </c>
      <c r="I40" s="13"/>
      <c r="J40" s="1" t="s">
        <v>144</v>
      </c>
      <c r="K40" s="2" t="e">
        <f t="shared" ca="1" si="8"/>
        <v>#NAME?</v>
      </c>
      <c r="L40" s="1" t="s">
        <v>145</v>
      </c>
      <c r="M40" s="2" t="e">
        <f t="shared" ca="1" si="9"/>
        <v>#NAME?</v>
      </c>
      <c r="N40" s="20"/>
      <c r="O40" s="2" t="e">
        <f t="shared" ca="1" si="10"/>
        <v>#NAME?</v>
      </c>
      <c r="P40" s="7"/>
      <c r="Q40" s="7"/>
    </row>
    <row r="41" spans="1:23" ht="28.8" x14ac:dyDescent="0.25">
      <c r="A41" s="7">
        <v>40101</v>
      </c>
      <c r="B41" s="2" t="s">
        <v>146</v>
      </c>
      <c r="C41" s="7"/>
      <c r="D41" s="7"/>
      <c r="E41" s="7"/>
      <c r="F41" s="2" t="e">
        <f t="shared" ca="1" si="6"/>
        <v>#NAME?</v>
      </c>
      <c r="G41" s="1" t="s">
        <v>147</v>
      </c>
      <c r="H41" s="2" t="e">
        <f t="shared" ca="1" si="7"/>
        <v>#NAME?</v>
      </c>
      <c r="I41" s="13"/>
      <c r="J41" s="1" t="s">
        <v>148</v>
      </c>
      <c r="K41" s="2" t="e">
        <f t="shared" ca="1" si="8"/>
        <v>#NAME?</v>
      </c>
      <c r="L41" s="1"/>
      <c r="M41" s="2" t="e">
        <f t="shared" ca="1" si="9"/>
        <v>#NAME?</v>
      </c>
      <c r="N41" s="20"/>
      <c r="O41" s="2" t="e">
        <f t="shared" ca="1" si="10"/>
        <v>#NAME?</v>
      </c>
      <c r="P41" s="7"/>
      <c r="Q41" s="7"/>
    </row>
    <row r="42" spans="1:23" ht="146.1" customHeight="1" x14ac:dyDescent="0.25">
      <c r="A42" s="7">
        <v>40110</v>
      </c>
      <c r="B42" s="2" t="s">
        <v>149</v>
      </c>
      <c r="C42" s="7"/>
      <c r="D42" s="7"/>
      <c r="E42" s="7"/>
      <c r="F42" s="2" t="e">
        <f t="shared" ca="1" si="6"/>
        <v>#NAME?</v>
      </c>
      <c r="G42" s="1" t="s">
        <v>150</v>
      </c>
      <c r="H42" s="2" t="e">
        <f t="shared" ca="1" si="7"/>
        <v>#NAME?</v>
      </c>
      <c r="I42" s="13"/>
      <c r="J42" s="1"/>
      <c r="K42" s="2" t="e">
        <f t="shared" ca="1" si="8"/>
        <v>#NAME?</v>
      </c>
      <c r="L42" s="1"/>
      <c r="M42" s="2" t="e">
        <f t="shared" ca="1" si="9"/>
        <v>#NAME?</v>
      </c>
      <c r="N42" s="20"/>
      <c r="O42" s="2" t="e">
        <f t="shared" ca="1" si="10"/>
        <v>#NAME?</v>
      </c>
      <c r="P42" s="7"/>
      <c r="Q42" s="7"/>
    </row>
    <row r="43" spans="1:23" ht="146.1" customHeight="1" x14ac:dyDescent="0.25">
      <c r="A43" s="7">
        <v>40111</v>
      </c>
      <c r="B43" s="2" t="s">
        <v>151</v>
      </c>
      <c r="C43" s="7"/>
      <c r="D43" s="7"/>
      <c r="E43" s="7" t="s">
        <v>34</v>
      </c>
      <c r="F43" s="2" t="e">
        <f t="shared" ca="1" si="6"/>
        <v>#NAME?</v>
      </c>
      <c r="G43" s="1"/>
      <c r="H43" s="2" t="e">
        <f t="shared" ca="1" si="7"/>
        <v>#NAME?</v>
      </c>
      <c r="I43" s="13"/>
      <c r="J43" s="1" t="s">
        <v>152</v>
      </c>
      <c r="K43" s="2" t="e">
        <f t="shared" ca="1" si="8"/>
        <v>#NAME?</v>
      </c>
      <c r="L43" s="1" t="s">
        <v>153</v>
      </c>
      <c r="M43" s="2" t="e">
        <f t="shared" ca="1" si="9"/>
        <v>#NAME?</v>
      </c>
      <c r="N43" s="20"/>
      <c r="O43" s="2" t="e">
        <f t="shared" ca="1" si="10"/>
        <v>#NAME?</v>
      </c>
      <c r="P43" s="7"/>
      <c r="Q43" s="7"/>
    </row>
    <row r="44" spans="1:23" ht="146.1" customHeight="1" x14ac:dyDescent="0.25">
      <c r="A44" s="7">
        <v>40112</v>
      </c>
      <c r="B44" s="2" t="s">
        <v>154</v>
      </c>
      <c r="C44" s="7"/>
      <c r="D44" s="7"/>
      <c r="E44" s="7" t="s">
        <v>34</v>
      </c>
      <c r="F44" s="2" t="e">
        <f t="shared" ca="1" si="6"/>
        <v>#NAME?</v>
      </c>
      <c r="G44" s="1"/>
      <c r="H44" s="2" t="e">
        <f t="shared" ca="1" si="7"/>
        <v>#NAME?</v>
      </c>
      <c r="I44" s="13"/>
      <c r="J44" s="1" t="s">
        <v>155</v>
      </c>
      <c r="K44" s="2" t="e">
        <f t="shared" ca="1" si="8"/>
        <v>#NAME?</v>
      </c>
      <c r="L44" s="1" t="s">
        <v>156</v>
      </c>
      <c r="M44" s="2" t="e">
        <f t="shared" ca="1" si="9"/>
        <v>#NAME?</v>
      </c>
      <c r="N44" s="20"/>
      <c r="O44" s="2" t="e">
        <f t="shared" ca="1" si="10"/>
        <v>#NAME?</v>
      </c>
      <c r="P44" s="7"/>
      <c r="Q44" s="7" t="s">
        <v>157</v>
      </c>
    </row>
    <row r="45" spans="1:23" ht="141.9" customHeight="1" x14ac:dyDescent="0.25">
      <c r="A45" s="7">
        <v>40115</v>
      </c>
      <c r="B45" s="2" t="s">
        <v>158</v>
      </c>
      <c r="C45" s="7"/>
      <c r="D45" s="7"/>
      <c r="E45" s="7"/>
      <c r="F45" s="2"/>
      <c r="G45" s="1" t="s">
        <v>159</v>
      </c>
      <c r="H45" s="2" t="e">
        <f t="shared" ca="1" si="7"/>
        <v>#NAME?</v>
      </c>
      <c r="I45" s="13"/>
      <c r="J45" s="1" t="s">
        <v>160</v>
      </c>
      <c r="K45" s="2" t="e">
        <f t="shared" ca="1" si="8"/>
        <v>#NAME?</v>
      </c>
      <c r="L45" s="1"/>
      <c r="M45" s="2" t="e">
        <f t="shared" ca="1" si="9"/>
        <v>#NAME?</v>
      </c>
      <c r="N45" s="20"/>
      <c r="O45" s="2"/>
      <c r="P45" s="7" t="s">
        <v>161</v>
      </c>
      <c r="Q45" s="7"/>
    </row>
    <row r="46" spans="1:23" ht="53.1" customHeight="1" x14ac:dyDescent="0.25">
      <c r="A46" s="7">
        <v>40120</v>
      </c>
      <c r="B46" s="2" t="s">
        <v>162</v>
      </c>
      <c r="C46" s="7"/>
      <c r="D46" s="7"/>
      <c r="E46" s="7"/>
      <c r="F46" s="2"/>
      <c r="G46" s="1" t="s">
        <v>163</v>
      </c>
      <c r="H46" s="2" t="e">
        <f t="shared" ca="1" si="7"/>
        <v>#NAME?</v>
      </c>
      <c r="I46" s="13"/>
      <c r="J46" s="1" t="s">
        <v>164</v>
      </c>
      <c r="K46" s="2" t="e">
        <f t="shared" ca="1" si="8"/>
        <v>#NAME?</v>
      </c>
      <c r="L46" s="13"/>
      <c r="M46" s="2" t="e">
        <f t="shared" ca="1" si="9"/>
        <v>#NAME?</v>
      </c>
      <c r="N46" s="20"/>
      <c r="O46" s="2"/>
      <c r="P46" s="7"/>
      <c r="Q46" s="7"/>
    </row>
    <row r="47" spans="1:23" customFormat="1" ht="53.1" customHeight="1" x14ac:dyDescent="0.25">
      <c r="A47" s="7">
        <v>40121</v>
      </c>
      <c r="B47" s="2" t="s">
        <v>165</v>
      </c>
      <c r="C47" s="7"/>
      <c r="D47" s="7"/>
      <c r="E47" s="7"/>
      <c r="F47" s="2"/>
      <c r="G47" s="13" t="s">
        <v>34</v>
      </c>
      <c r="H47" s="2" t="e">
        <f t="shared" ca="1" si="7"/>
        <v>#NAME?</v>
      </c>
      <c r="I47" s="13"/>
      <c r="J47" s="1" t="s">
        <v>166</v>
      </c>
      <c r="K47" s="2" t="e">
        <f t="shared" ca="1" si="8"/>
        <v>#NAME?</v>
      </c>
      <c r="L47" s="13"/>
      <c r="M47" s="2" t="e">
        <v>#NAME?</v>
      </c>
      <c r="N47" s="20"/>
      <c r="O47" s="2"/>
      <c r="P47" s="7"/>
      <c r="Q47" s="7"/>
      <c r="R47" s="4"/>
      <c r="S47" s="4"/>
      <c r="T47" s="4"/>
      <c r="U47" s="4"/>
      <c r="V47" s="4"/>
      <c r="W47" s="4"/>
    </row>
    <row r="48" spans="1:23" customFormat="1" ht="53.1" customHeight="1" x14ac:dyDescent="0.25">
      <c r="A48" s="7">
        <v>40122</v>
      </c>
      <c r="B48" s="2" t="s">
        <v>167</v>
      </c>
      <c r="C48" s="7"/>
      <c r="D48" s="7"/>
      <c r="E48" s="7"/>
      <c r="F48" s="2"/>
      <c r="G48" s="1" t="s">
        <v>168</v>
      </c>
      <c r="H48" s="2" t="e">
        <f t="shared" ca="1" si="7"/>
        <v>#NAME?</v>
      </c>
      <c r="I48" s="13"/>
      <c r="J48" s="1" t="s">
        <v>164</v>
      </c>
      <c r="K48" s="2" t="e">
        <f t="shared" ca="1" si="8"/>
        <v>#NAME?</v>
      </c>
      <c r="L48" s="13"/>
      <c r="M48" s="2" t="e">
        <f ca="1">ReplaceValuesUDF(L48,"Sheet2")</f>
        <v>#NAME?</v>
      </c>
      <c r="N48" s="20"/>
      <c r="O48" s="2"/>
      <c r="P48" s="7"/>
      <c r="Q48" s="7"/>
      <c r="R48" s="4"/>
      <c r="S48" s="4"/>
      <c r="T48" s="4"/>
      <c r="U48" s="4"/>
      <c r="V48" s="4"/>
      <c r="W48" s="4"/>
    </row>
    <row r="49" spans="1:17" ht="69.900000000000006" customHeight="1" x14ac:dyDescent="0.25">
      <c r="A49" s="7">
        <v>40130</v>
      </c>
      <c r="B49" s="2" t="s">
        <v>169</v>
      </c>
      <c r="C49" s="7"/>
      <c r="D49" s="7"/>
      <c r="E49" s="7"/>
      <c r="F49" s="2"/>
      <c r="G49" s="1" t="s">
        <v>170</v>
      </c>
      <c r="H49" s="2" t="e">
        <f t="shared" ca="1" si="7"/>
        <v>#NAME?</v>
      </c>
      <c r="I49" s="13"/>
      <c r="J49" s="1" t="s">
        <v>171</v>
      </c>
      <c r="K49" s="2" t="e">
        <f t="shared" ca="1" si="8"/>
        <v>#NAME?</v>
      </c>
      <c r="L49" s="1"/>
      <c r="M49" s="2"/>
      <c r="N49" s="20"/>
      <c r="O49" s="2"/>
      <c r="P49" s="7">
        <v>40115</v>
      </c>
      <c r="Q49" s="7"/>
    </row>
    <row r="50" spans="1:17" ht="36.9" customHeight="1" x14ac:dyDescent="0.25">
      <c r="A50" s="7">
        <v>40140</v>
      </c>
      <c r="B50" s="2" t="s">
        <v>172</v>
      </c>
      <c r="C50" s="7"/>
      <c r="D50" s="7"/>
      <c r="E50" s="7"/>
      <c r="F50" s="2"/>
      <c r="G50" s="1" t="s">
        <v>173</v>
      </c>
      <c r="H50" s="2" t="e">
        <f t="shared" ca="1" si="7"/>
        <v>#NAME?</v>
      </c>
      <c r="I50" s="13"/>
      <c r="J50" s="13" t="s">
        <v>174</v>
      </c>
      <c r="K50" s="2" t="e">
        <f t="shared" ca="1" si="8"/>
        <v>#NAME?</v>
      </c>
      <c r="L50" s="13"/>
      <c r="M50" s="2"/>
      <c r="N50" s="20"/>
      <c r="O50" s="2"/>
      <c r="P50" s="7"/>
      <c r="Q50" s="7"/>
    </row>
    <row r="51" spans="1:17" ht="36.9" customHeight="1" x14ac:dyDescent="0.25">
      <c r="A51" s="7">
        <v>40150</v>
      </c>
      <c r="B51" s="2" t="s">
        <v>175</v>
      </c>
      <c r="C51" s="7"/>
      <c r="D51" s="7"/>
      <c r="E51" s="7"/>
      <c r="F51" s="2"/>
      <c r="G51" s="1" t="s">
        <v>176</v>
      </c>
      <c r="H51" s="2" t="e">
        <f t="shared" ca="1" si="7"/>
        <v>#NAME?</v>
      </c>
      <c r="I51" s="13"/>
      <c r="J51" s="13" t="s">
        <v>177</v>
      </c>
      <c r="K51" s="2" t="e">
        <f t="shared" ca="1" si="8"/>
        <v>#NAME?</v>
      </c>
      <c r="L51" s="13"/>
      <c r="M51" s="2"/>
      <c r="N51" s="20"/>
      <c r="O51" s="2"/>
      <c r="P51" s="7"/>
      <c r="Q51" s="7"/>
    </row>
    <row r="52" spans="1:17" ht="36.9" customHeight="1" x14ac:dyDescent="0.25">
      <c r="A52" s="7">
        <v>40160</v>
      </c>
      <c r="B52" s="2" t="s">
        <v>178</v>
      </c>
      <c r="C52" s="7"/>
      <c r="D52" s="7"/>
      <c r="E52" s="7"/>
      <c r="F52" s="2"/>
      <c r="G52" s="1" t="s">
        <v>179</v>
      </c>
      <c r="H52" s="2" t="e">
        <f t="shared" ca="1" si="7"/>
        <v>#NAME?</v>
      </c>
      <c r="I52" s="13"/>
      <c r="J52" s="13" t="s">
        <v>180</v>
      </c>
      <c r="K52" s="2" t="e">
        <f t="shared" ca="1" si="8"/>
        <v>#NAME?</v>
      </c>
      <c r="L52" s="13"/>
      <c r="M52" s="2" t="e">
        <f t="shared" ref="M52:M68" ca="1" si="11">ReplaceValuesUDF(L52,"Sheet2")</f>
        <v>#NAME?</v>
      </c>
      <c r="N52" s="20"/>
      <c r="O52" s="2"/>
      <c r="P52" s="7"/>
      <c r="Q52" s="7"/>
    </row>
    <row r="53" spans="1:17" x14ac:dyDescent="0.25">
      <c r="A53" s="7">
        <v>50010</v>
      </c>
      <c r="B53" s="2" t="s">
        <v>181</v>
      </c>
      <c r="C53" s="7"/>
      <c r="D53" s="7"/>
      <c r="E53" s="7"/>
      <c r="F53" s="2" t="e">
        <f t="shared" ref="F53:F63" ca="1" si="12">ReplaceValuesUDF(E53,"Sheet2")</f>
        <v>#NAME?</v>
      </c>
      <c r="G53" s="1" t="s">
        <v>182</v>
      </c>
      <c r="H53" s="2" t="e">
        <f t="shared" ca="1" si="7"/>
        <v>#NAME?</v>
      </c>
      <c r="I53" s="13"/>
      <c r="J53" s="13" t="s">
        <v>183</v>
      </c>
      <c r="K53" s="2" t="e">
        <f t="shared" ca="1" si="8"/>
        <v>#NAME?</v>
      </c>
      <c r="L53" s="13" t="s">
        <v>184</v>
      </c>
      <c r="M53" s="2" t="e">
        <f t="shared" ca="1" si="11"/>
        <v>#NAME?</v>
      </c>
      <c r="N53" s="20"/>
      <c r="O53" s="2" t="e">
        <f t="shared" ref="O53:O68" ca="1" si="13">ReplaceValuesUDF(N53,"Sheet2")</f>
        <v>#NAME?</v>
      </c>
      <c r="P53" s="7"/>
      <c r="Q53" s="7" t="s">
        <v>157</v>
      </c>
    </row>
    <row r="54" spans="1:17" x14ac:dyDescent="0.25">
      <c r="A54" s="7">
        <v>50020</v>
      </c>
      <c r="B54" s="2" t="s">
        <v>185</v>
      </c>
      <c r="C54" s="7"/>
      <c r="D54" s="7"/>
      <c r="E54" s="7"/>
      <c r="F54" s="2" t="e">
        <f t="shared" ca="1" si="12"/>
        <v>#NAME?</v>
      </c>
      <c r="G54" s="1" t="s">
        <v>186</v>
      </c>
      <c r="H54" s="2" t="e">
        <f t="shared" ca="1" si="7"/>
        <v>#NAME?</v>
      </c>
      <c r="I54" s="13"/>
      <c r="J54" s="1" t="s">
        <v>187</v>
      </c>
      <c r="K54" s="2" t="e">
        <f t="shared" ca="1" si="8"/>
        <v>#NAME?</v>
      </c>
      <c r="L54" s="1"/>
      <c r="M54" s="2" t="e">
        <f t="shared" ca="1" si="11"/>
        <v>#NAME?</v>
      </c>
      <c r="N54" s="20"/>
      <c r="O54" s="2" t="e">
        <f t="shared" ca="1" si="13"/>
        <v>#NAME?</v>
      </c>
      <c r="P54" s="7"/>
      <c r="Q54" s="7"/>
    </row>
    <row r="55" spans="1:17" ht="408.9" customHeight="1" x14ac:dyDescent="0.25">
      <c r="A55" s="7">
        <v>50030</v>
      </c>
      <c r="B55" s="2" t="s">
        <v>188</v>
      </c>
      <c r="C55" s="7"/>
      <c r="D55" s="7"/>
      <c r="E55" s="7"/>
      <c r="F55" s="2" t="e">
        <f t="shared" ca="1" si="12"/>
        <v>#NAME?</v>
      </c>
      <c r="G55" s="1" t="s">
        <v>189</v>
      </c>
      <c r="H55" s="2" t="e">
        <f t="shared" ca="1" si="7"/>
        <v>#NAME?</v>
      </c>
      <c r="I55" s="13"/>
      <c r="J55" s="1" t="s">
        <v>190</v>
      </c>
      <c r="K55" s="2" t="e">
        <f t="shared" ca="1" si="8"/>
        <v>#NAME?</v>
      </c>
      <c r="L55" s="13"/>
      <c r="M55" s="2" t="e">
        <f t="shared" ca="1" si="11"/>
        <v>#NAME?</v>
      </c>
      <c r="N55" s="20"/>
      <c r="O55" s="2" t="e">
        <f t="shared" ca="1" si="13"/>
        <v>#NAME?</v>
      </c>
      <c r="P55" s="7"/>
      <c r="Q55" s="7"/>
    </row>
    <row r="56" spans="1:17" ht="28.8" x14ac:dyDescent="0.25">
      <c r="A56" s="7">
        <v>50040</v>
      </c>
      <c r="B56" s="2" t="s">
        <v>191</v>
      </c>
      <c r="C56" s="7"/>
      <c r="D56" s="7"/>
      <c r="E56" s="7"/>
      <c r="F56" s="2" t="e">
        <f t="shared" ca="1" si="12"/>
        <v>#NAME?</v>
      </c>
      <c r="G56" s="1" t="s">
        <v>192</v>
      </c>
      <c r="H56" s="2" t="e">
        <f t="shared" ca="1" si="7"/>
        <v>#NAME?</v>
      </c>
      <c r="I56" s="13"/>
      <c r="J56" s="1" t="s">
        <v>193</v>
      </c>
      <c r="K56" s="2" t="e">
        <f t="shared" ca="1" si="8"/>
        <v>#NAME?</v>
      </c>
      <c r="L56" s="1" t="s">
        <v>194</v>
      </c>
      <c r="M56" s="2" t="e">
        <f t="shared" ca="1" si="11"/>
        <v>#NAME?</v>
      </c>
      <c r="N56" s="20"/>
      <c r="O56" s="2" t="e">
        <f t="shared" ca="1" si="13"/>
        <v>#NAME?</v>
      </c>
      <c r="P56" s="7"/>
      <c r="Q56" s="7"/>
    </row>
    <row r="57" spans="1:17" x14ac:dyDescent="0.25">
      <c r="A57" s="7">
        <v>50050</v>
      </c>
      <c r="B57" s="2" t="s">
        <v>195</v>
      </c>
      <c r="C57" s="7"/>
      <c r="D57" s="7"/>
      <c r="E57" s="7"/>
      <c r="F57" s="2" t="e">
        <f t="shared" ca="1" si="12"/>
        <v>#NAME?</v>
      </c>
      <c r="G57" s="1" t="s">
        <v>196</v>
      </c>
      <c r="H57" s="2" t="e">
        <f t="shared" ca="1" si="7"/>
        <v>#NAME?</v>
      </c>
      <c r="I57" s="13"/>
      <c r="J57" s="1" t="s">
        <v>197</v>
      </c>
      <c r="K57" s="2" t="e">
        <f t="shared" ca="1" si="8"/>
        <v>#NAME?</v>
      </c>
      <c r="L57" s="1" t="s">
        <v>198</v>
      </c>
      <c r="M57" s="2" t="e">
        <f t="shared" ca="1" si="11"/>
        <v>#NAME?</v>
      </c>
      <c r="N57" s="20"/>
      <c r="O57" s="2" t="e">
        <f t="shared" ca="1" si="13"/>
        <v>#NAME?</v>
      </c>
      <c r="P57" s="7"/>
      <c r="Q57" s="7"/>
    </row>
    <row r="58" spans="1:17" x14ac:dyDescent="0.25">
      <c r="A58" s="7">
        <v>50051</v>
      </c>
      <c r="B58" s="2" t="s">
        <v>199</v>
      </c>
      <c r="C58" s="7"/>
      <c r="D58" s="7"/>
      <c r="E58" s="7"/>
      <c r="F58" s="2" t="e">
        <f t="shared" ca="1" si="12"/>
        <v>#NAME?</v>
      </c>
      <c r="G58" s="1" t="s">
        <v>200</v>
      </c>
      <c r="H58" s="2" t="e">
        <f t="shared" ca="1" si="7"/>
        <v>#NAME?</v>
      </c>
      <c r="I58" s="13"/>
      <c r="J58" s="1" t="s">
        <v>201</v>
      </c>
      <c r="K58" s="2" t="e">
        <f t="shared" ca="1" si="8"/>
        <v>#NAME?</v>
      </c>
      <c r="L58" s="1"/>
      <c r="M58" s="2" t="e">
        <f t="shared" ca="1" si="11"/>
        <v>#NAME?</v>
      </c>
      <c r="N58" s="20"/>
      <c r="O58" s="2" t="e">
        <f t="shared" ca="1" si="13"/>
        <v>#NAME?</v>
      </c>
      <c r="P58" s="7"/>
      <c r="Q58" s="7"/>
    </row>
    <row r="59" spans="1:17" x14ac:dyDescent="0.25">
      <c r="A59" s="7">
        <v>50060</v>
      </c>
      <c r="B59" s="4" t="s">
        <v>202</v>
      </c>
      <c r="C59" s="7"/>
      <c r="D59" s="7"/>
      <c r="E59" s="7"/>
      <c r="F59" s="2" t="e">
        <f t="shared" ca="1" si="12"/>
        <v>#NAME?</v>
      </c>
      <c r="G59" s="1" t="s">
        <v>203</v>
      </c>
      <c r="H59" s="2" t="e">
        <f t="shared" ca="1" si="7"/>
        <v>#NAME?</v>
      </c>
      <c r="I59" s="13"/>
      <c r="J59" s="1" t="s">
        <v>204</v>
      </c>
      <c r="K59" s="2" t="e">
        <f t="shared" ca="1" si="8"/>
        <v>#NAME?</v>
      </c>
      <c r="L59" s="1" t="s">
        <v>205</v>
      </c>
      <c r="M59" s="2" t="e">
        <f t="shared" ca="1" si="11"/>
        <v>#NAME?</v>
      </c>
      <c r="N59" s="20"/>
      <c r="O59" s="2" t="e">
        <f t="shared" ca="1" si="13"/>
        <v>#NAME?</v>
      </c>
      <c r="P59" s="7"/>
      <c r="Q59" s="7"/>
    </row>
    <row r="60" spans="1:17" x14ac:dyDescent="0.25">
      <c r="A60" s="7">
        <v>50070</v>
      </c>
      <c r="B60" s="2" t="s">
        <v>206</v>
      </c>
      <c r="C60" s="7"/>
      <c r="D60" s="7"/>
      <c r="E60" s="7"/>
      <c r="F60" s="2" t="e">
        <f t="shared" ca="1" si="12"/>
        <v>#NAME?</v>
      </c>
      <c r="G60" s="1" t="s">
        <v>207</v>
      </c>
      <c r="H60" s="2" t="e">
        <f t="shared" ca="1" si="7"/>
        <v>#NAME?</v>
      </c>
      <c r="I60" s="13"/>
      <c r="J60" s="1" t="s">
        <v>208</v>
      </c>
      <c r="K60" s="2" t="e">
        <f t="shared" ca="1" si="8"/>
        <v>#NAME?</v>
      </c>
      <c r="L60" s="1" t="s">
        <v>209</v>
      </c>
      <c r="M60" s="2" t="e">
        <f t="shared" ca="1" si="11"/>
        <v>#NAME?</v>
      </c>
      <c r="N60" s="20"/>
      <c r="O60" s="2" t="e">
        <f t="shared" ca="1" si="13"/>
        <v>#NAME?</v>
      </c>
      <c r="P60" s="7"/>
      <c r="Q60" s="7"/>
    </row>
    <row r="61" spans="1:17" x14ac:dyDescent="0.25">
      <c r="A61" s="7">
        <v>50080</v>
      </c>
      <c r="B61" s="2" t="s">
        <v>210</v>
      </c>
      <c r="C61" s="7"/>
      <c r="D61" s="7"/>
      <c r="E61" s="7"/>
      <c r="F61" s="2" t="e">
        <f t="shared" ca="1" si="12"/>
        <v>#NAME?</v>
      </c>
      <c r="G61" s="1" t="s">
        <v>211</v>
      </c>
      <c r="H61" s="2" t="e">
        <f t="shared" ca="1" si="7"/>
        <v>#NAME?</v>
      </c>
      <c r="I61" s="13"/>
      <c r="J61" s="1" t="s">
        <v>212</v>
      </c>
      <c r="K61" s="2" t="e">
        <f t="shared" ca="1" si="8"/>
        <v>#NAME?</v>
      </c>
      <c r="L61" s="1"/>
      <c r="M61" s="2" t="e">
        <f t="shared" ca="1" si="11"/>
        <v>#NAME?</v>
      </c>
      <c r="N61" s="20"/>
      <c r="O61" s="2" t="e">
        <f t="shared" ca="1" si="13"/>
        <v>#NAME?</v>
      </c>
      <c r="P61" s="7"/>
      <c r="Q61" s="7"/>
    </row>
    <row r="62" spans="1:17" x14ac:dyDescent="0.25">
      <c r="A62" s="7">
        <v>50090</v>
      </c>
      <c r="B62" s="2" t="s">
        <v>213</v>
      </c>
      <c r="C62" s="7"/>
      <c r="D62" s="7"/>
      <c r="E62" s="7"/>
      <c r="F62" s="2" t="e">
        <f t="shared" ca="1" si="12"/>
        <v>#NAME?</v>
      </c>
      <c r="G62" s="1" t="s">
        <v>214</v>
      </c>
      <c r="H62" s="2" t="e">
        <f t="shared" ca="1" si="7"/>
        <v>#NAME?</v>
      </c>
      <c r="I62" s="13"/>
      <c r="J62" s="1" t="s">
        <v>215</v>
      </c>
      <c r="K62" s="2" t="e">
        <f t="shared" ca="1" si="8"/>
        <v>#NAME?</v>
      </c>
      <c r="L62" s="1"/>
      <c r="M62" s="2" t="e">
        <f t="shared" ca="1" si="11"/>
        <v>#NAME?</v>
      </c>
      <c r="N62" s="20"/>
      <c r="O62" s="2" t="e">
        <f t="shared" ca="1" si="13"/>
        <v>#NAME?</v>
      </c>
      <c r="P62" s="7"/>
      <c r="Q62" s="7"/>
    </row>
    <row r="63" spans="1:17" x14ac:dyDescent="0.25">
      <c r="A63" s="7">
        <v>50100</v>
      </c>
      <c r="B63" s="2" t="s">
        <v>216</v>
      </c>
      <c r="C63" s="7"/>
      <c r="D63" s="7"/>
      <c r="E63" s="7"/>
      <c r="F63" s="2" t="e">
        <f t="shared" ca="1" si="12"/>
        <v>#NAME?</v>
      </c>
      <c r="G63" s="1" t="s">
        <v>217</v>
      </c>
      <c r="H63" s="2" t="e">
        <f t="shared" ca="1" si="7"/>
        <v>#NAME?</v>
      </c>
      <c r="I63" s="13"/>
      <c r="J63" s="1" t="s">
        <v>218</v>
      </c>
      <c r="K63" s="2" t="e">
        <f t="shared" ca="1" si="8"/>
        <v>#NAME?</v>
      </c>
      <c r="L63" s="1" t="s">
        <v>219</v>
      </c>
      <c r="M63" s="2" t="e">
        <f t="shared" ca="1" si="11"/>
        <v>#NAME?</v>
      </c>
      <c r="N63" s="20"/>
      <c r="O63" s="2" t="e">
        <f t="shared" ca="1" si="13"/>
        <v>#NAME?</v>
      </c>
      <c r="P63" s="7"/>
      <c r="Q63" s="7"/>
    </row>
    <row r="64" spans="1:17" x14ac:dyDescent="0.25">
      <c r="A64" s="7">
        <v>50101</v>
      </c>
      <c r="B64" s="2" t="s">
        <v>220</v>
      </c>
      <c r="C64" s="7"/>
      <c r="D64" s="7"/>
      <c r="E64" s="7"/>
      <c r="F64" s="2"/>
      <c r="G64" s="1" t="s">
        <v>221</v>
      </c>
      <c r="H64" s="2" t="e">
        <f t="shared" ca="1" si="7"/>
        <v>#NAME?</v>
      </c>
      <c r="I64" s="13"/>
      <c r="J64" s="1" t="s">
        <v>222</v>
      </c>
      <c r="K64" s="2" t="e">
        <f t="shared" ca="1" si="8"/>
        <v>#NAME?</v>
      </c>
      <c r="L64" s="4"/>
      <c r="M64" s="2" t="e">
        <f t="shared" ca="1" si="11"/>
        <v>#NAME?</v>
      </c>
      <c r="N64" s="20"/>
      <c r="O64" s="2" t="e">
        <f t="shared" ca="1" si="13"/>
        <v>#NAME?</v>
      </c>
      <c r="P64" s="7"/>
      <c r="Q64" s="7"/>
    </row>
    <row r="65" spans="1:17" x14ac:dyDescent="0.25">
      <c r="A65" s="7">
        <v>50102</v>
      </c>
      <c r="B65" s="2" t="s">
        <v>223</v>
      </c>
      <c r="C65" s="7"/>
      <c r="D65" s="7"/>
      <c r="E65" s="7"/>
      <c r="F65" s="2"/>
      <c r="G65" s="1" t="s">
        <v>224</v>
      </c>
      <c r="H65" s="2" t="e">
        <f t="shared" ca="1" si="7"/>
        <v>#NAME?</v>
      </c>
      <c r="I65" s="13"/>
      <c r="J65" s="1" t="s">
        <v>225</v>
      </c>
      <c r="K65" s="2" t="e">
        <f t="shared" ca="1" si="8"/>
        <v>#NAME?</v>
      </c>
      <c r="L65" s="7"/>
      <c r="M65" s="2" t="e">
        <f t="shared" ca="1" si="11"/>
        <v>#NAME?</v>
      </c>
      <c r="N65" s="20"/>
      <c r="O65" s="2" t="e">
        <f t="shared" ca="1" si="13"/>
        <v>#NAME?</v>
      </c>
      <c r="P65" s="7"/>
      <c r="Q65" s="7"/>
    </row>
    <row r="66" spans="1:17" x14ac:dyDescent="0.25">
      <c r="A66" s="7">
        <v>50103</v>
      </c>
      <c r="B66" s="2" t="s">
        <v>226</v>
      </c>
      <c r="C66" s="7"/>
      <c r="D66" s="7"/>
      <c r="E66" s="7"/>
      <c r="F66" s="2"/>
      <c r="G66" s="1" t="s">
        <v>227</v>
      </c>
      <c r="H66" s="2" t="e">
        <f t="shared" ca="1" si="7"/>
        <v>#NAME?</v>
      </c>
      <c r="I66" s="13"/>
      <c r="J66" s="13" t="s">
        <v>228</v>
      </c>
      <c r="K66" s="2" t="e">
        <f t="shared" ca="1" si="8"/>
        <v>#NAME?</v>
      </c>
      <c r="L66" s="5"/>
      <c r="M66" s="2" t="e">
        <f t="shared" ca="1" si="11"/>
        <v>#NAME?</v>
      </c>
      <c r="N66" s="20"/>
      <c r="O66" s="2" t="e">
        <f t="shared" ca="1" si="13"/>
        <v>#NAME?</v>
      </c>
      <c r="P66" s="7"/>
      <c r="Q66" s="7"/>
    </row>
    <row r="67" spans="1:17" x14ac:dyDescent="0.25">
      <c r="A67" s="7">
        <v>50104</v>
      </c>
      <c r="B67" s="2" t="s">
        <v>229</v>
      </c>
      <c r="C67" s="7"/>
      <c r="D67" s="7"/>
      <c r="E67" s="7"/>
      <c r="F67" s="2"/>
      <c r="G67" s="1" t="s">
        <v>230</v>
      </c>
      <c r="H67" s="2" t="e">
        <f t="shared" ca="1" si="7"/>
        <v>#NAME?</v>
      </c>
      <c r="I67" s="13"/>
      <c r="J67" s="13" t="s">
        <v>231</v>
      </c>
      <c r="K67" s="2" t="e">
        <f t="shared" ca="1" si="8"/>
        <v>#NAME?</v>
      </c>
      <c r="L67" s="5"/>
      <c r="M67" s="2" t="e">
        <f t="shared" ca="1" si="11"/>
        <v>#NAME?</v>
      </c>
      <c r="N67" s="20"/>
      <c r="O67" s="2" t="e">
        <f t="shared" ca="1" si="13"/>
        <v>#NAME?</v>
      </c>
      <c r="P67" s="7"/>
      <c r="Q67" s="7"/>
    </row>
    <row r="68" spans="1:17" x14ac:dyDescent="0.25">
      <c r="A68" s="7">
        <v>50105</v>
      </c>
      <c r="B68" s="2" t="s">
        <v>232</v>
      </c>
      <c r="C68" s="7"/>
      <c r="D68" s="7"/>
      <c r="E68" s="7"/>
      <c r="F68" s="2"/>
      <c r="G68" s="1" t="s">
        <v>233</v>
      </c>
      <c r="H68" s="2" t="e">
        <f t="shared" ca="1" si="7"/>
        <v>#NAME?</v>
      </c>
      <c r="I68" s="13"/>
      <c r="J68" s="13" t="s">
        <v>234</v>
      </c>
      <c r="K68" s="2" t="e">
        <f t="shared" ca="1" si="8"/>
        <v>#NAME?</v>
      </c>
      <c r="L68" s="5"/>
      <c r="M68" s="2" t="e">
        <f t="shared" ca="1" si="11"/>
        <v>#NAME?</v>
      </c>
      <c r="N68" s="20"/>
      <c r="O68" s="2" t="e">
        <f t="shared" ca="1" si="13"/>
        <v>#NAME?</v>
      </c>
      <c r="P68" s="7"/>
      <c r="Q68" s="7"/>
    </row>
    <row r="69" spans="1:17" x14ac:dyDescent="0.25">
      <c r="A69" s="7">
        <v>50106</v>
      </c>
      <c r="B69" s="2" t="s">
        <v>235</v>
      </c>
      <c r="C69" s="7"/>
      <c r="D69" s="7"/>
      <c r="E69" s="7"/>
      <c r="F69" s="2"/>
      <c r="G69" s="1" t="s">
        <v>236</v>
      </c>
      <c r="H69" s="2"/>
      <c r="I69" s="13"/>
      <c r="J69" s="13" t="s">
        <v>237</v>
      </c>
      <c r="K69" s="2"/>
      <c r="L69" s="5"/>
      <c r="M69" s="2"/>
      <c r="N69" s="20"/>
      <c r="O69" s="2"/>
      <c r="P69" s="7"/>
      <c r="Q69" s="7"/>
    </row>
    <row r="70" spans="1:17" x14ac:dyDescent="0.25">
      <c r="A70" s="7">
        <v>50110</v>
      </c>
      <c r="B70" s="2" t="s">
        <v>238</v>
      </c>
      <c r="C70" s="7"/>
      <c r="D70" s="7"/>
      <c r="E70" s="7"/>
      <c r="F70" s="2" t="e">
        <f ca="1">ReplaceValuesUDF(E70,"Sheet2")</f>
        <v>#NAME?</v>
      </c>
      <c r="G70" s="1" t="s">
        <v>239</v>
      </c>
      <c r="H70" s="2" t="e">
        <f t="shared" ref="H70:H95" ca="1" si="14">ReplaceValuesUDF(G70,"Sheet2")</f>
        <v>#NAME?</v>
      </c>
      <c r="I70" s="13"/>
      <c r="J70" s="13" t="s">
        <v>240</v>
      </c>
      <c r="K70" s="2" t="e">
        <f t="shared" ref="K70:K95" ca="1" si="15">ReplaceValuesUDF(J70,"Sheet2")</f>
        <v>#NAME?</v>
      </c>
      <c r="L70" s="1"/>
      <c r="M70" s="2" t="e">
        <f t="shared" ref="M70:M95" ca="1" si="16">ReplaceValuesUDF(L70,"Sheet2")</f>
        <v>#NAME?</v>
      </c>
      <c r="N70" s="20"/>
      <c r="O70" s="2" t="e">
        <f t="shared" ref="O70:O95" ca="1" si="17">ReplaceValuesUDF(N70,"Sheet2")</f>
        <v>#NAME?</v>
      </c>
      <c r="P70" s="7"/>
      <c r="Q70" s="7"/>
    </row>
    <row r="71" spans="1:17" x14ac:dyDescent="0.25">
      <c r="A71" s="7">
        <v>50120</v>
      </c>
      <c r="B71" s="2" t="s">
        <v>241</v>
      </c>
      <c r="C71" s="7"/>
      <c r="D71" s="7"/>
      <c r="E71" s="7"/>
      <c r="F71" s="2" t="e">
        <f ca="1">ReplaceValuesUDF(E71,"Sheet2")</f>
        <v>#NAME?</v>
      </c>
      <c r="G71" s="1" t="s">
        <v>242</v>
      </c>
      <c r="H71" s="2" t="e">
        <f t="shared" ca="1" si="14"/>
        <v>#NAME?</v>
      </c>
      <c r="I71" s="13"/>
      <c r="J71" s="1" t="s">
        <v>243</v>
      </c>
      <c r="K71" s="2" t="e">
        <f t="shared" ca="1" si="15"/>
        <v>#NAME?</v>
      </c>
      <c r="L71" s="1"/>
      <c r="M71" s="2" t="e">
        <f t="shared" ca="1" si="16"/>
        <v>#NAME?</v>
      </c>
      <c r="N71" s="20"/>
      <c r="O71" s="2" t="e">
        <f t="shared" ca="1" si="17"/>
        <v>#NAME?</v>
      </c>
      <c r="P71" s="7"/>
      <c r="Q71" s="7"/>
    </row>
    <row r="72" spans="1:17" ht="28.8" x14ac:dyDescent="0.25">
      <c r="A72" s="7">
        <v>50130</v>
      </c>
      <c r="B72" s="2" t="s">
        <v>244</v>
      </c>
      <c r="C72" s="7"/>
      <c r="D72" s="7"/>
      <c r="E72" s="7"/>
      <c r="F72" s="2" t="e">
        <f ca="1">ReplaceValuesUDF(E72,"Sheet2")</f>
        <v>#NAME?</v>
      </c>
      <c r="G72" s="1" t="s">
        <v>245</v>
      </c>
      <c r="H72" s="2" t="e">
        <f t="shared" ca="1" si="14"/>
        <v>#NAME?</v>
      </c>
      <c r="I72" s="13"/>
      <c r="J72" s="1" t="s">
        <v>246</v>
      </c>
      <c r="K72" s="2" t="e">
        <f t="shared" ca="1" si="15"/>
        <v>#NAME?</v>
      </c>
      <c r="L72" s="1"/>
      <c r="M72" s="2" t="e">
        <f t="shared" ca="1" si="16"/>
        <v>#NAME?</v>
      </c>
      <c r="N72" s="20"/>
      <c r="O72" s="2" t="e">
        <f t="shared" ca="1" si="17"/>
        <v>#NAME?</v>
      </c>
      <c r="P72" s="7"/>
      <c r="Q72" s="7"/>
    </row>
    <row r="73" spans="1:17" ht="28.8" x14ac:dyDescent="0.25">
      <c r="A73" s="7">
        <v>50140</v>
      </c>
      <c r="B73" s="2" t="s">
        <v>247</v>
      </c>
      <c r="C73" s="7"/>
      <c r="D73" s="7"/>
      <c r="E73" s="7"/>
      <c r="F73" s="2" t="e">
        <f ca="1">ReplaceValuesUDF(E73,"Sheet2")</f>
        <v>#NAME?</v>
      </c>
      <c r="G73" s="1" t="s">
        <v>248</v>
      </c>
      <c r="H73" s="2" t="e">
        <f t="shared" ca="1" si="14"/>
        <v>#NAME?</v>
      </c>
      <c r="I73" s="13"/>
      <c r="J73" s="1" t="s">
        <v>249</v>
      </c>
      <c r="K73" s="2" t="e">
        <f t="shared" ca="1" si="15"/>
        <v>#NAME?</v>
      </c>
      <c r="L73" s="1" t="s">
        <v>250</v>
      </c>
      <c r="M73" s="2" t="e">
        <f t="shared" ca="1" si="16"/>
        <v>#NAME?</v>
      </c>
      <c r="N73" s="20"/>
      <c r="O73" s="2" t="e">
        <f t="shared" ca="1" si="17"/>
        <v>#NAME?</v>
      </c>
      <c r="P73" s="7"/>
      <c r="Q73" s="7"/>
    </row>
    <row r="74" spans="1:17" x14ac:dyDescent="0.25">
      <c r="A74" s="7">
        <v>50150</v>
      </c>
      <c r="B74" s="2" t="s">
        <v>251</v>
      </c>
      <c r="C74" s="7"/>
      <c r="D74" s="7"/>
      <c r="E74" s="7"/>
      <c r="F74" s="2"/>
      <c r="G74" s="1" t="s">
        <v>252</v>
      </c>
      <c r="H74" s="2" t="e">
        <f t="shared" ca="1" si="14"/>
        <v>#NAME?</v>
      </c>
      <c r="I74" s="13"/>
      <c r="J74" s="1" t="s">
        <v>253</v>
      </c>
      <c r="K74" s="2" t="e">
        <f t="shared" ca="1" si="15"/>
        <v>#NAME?</v>
      </c>
      <c r="L74" s="1"/>
      <c r="M74" s="2" t="e">
        <f t="shared" ca="1" si="16"/>
        <v>#NAME?</v>
      </c>
      <c r="N74" s="20"/>
      <c r="O74" s="2" t="e">
        <f t="shared" ca="1" si="17"/>
        <v>#NAME?</v>
      </c>
      <c r="P74" s="7"/>
      <c r="Q74" s="7"/>
    </row>
    <row r="75" spans="1:17" x14ac:dyDescent="0.25">
      <c r="A75" s="7">
        <v>50160</v>
      </c>
      <c r="B75" s="2" t="s">
        <v>254</v>
      </c>
      <c r="C75" s="7"/>
      <c r="D75" s="7"/>
      <c r="E75" s="7"/>
      <c r="F75" s="2"/>
      <c r="G75" s="1" t="s">
        <v>255</v>
      </c>
      <c r="H75" s="2" t="e">
        <f t="shared" ca="1" si="14"/>
        <v>#NAME?</v>
      </c>
      <c r="I75" s="13"/>
      <c r="J75" s="1" t="s">
        <v>256</v>
      </c>
      <c r="K75" s="2" t="e">
        <f t="shared" ca="1" si="15"/>
        <v>#NAME?</v>
      </c>
      <c r="L75" s="1"/>
      <c r="M75" s="2" t="e">
        <f t="shared" ca="1" si="16"/>
        <v>#NAME?</v>
      </c>
      <c r="N75" s="20"/>
      <c r="O75" s="2" t="e">
        <f t="shared" ca="1" si="17"/>
        <v>#NAME?</v>
      </c>
      <c r="P75" s="7"/>
      <c r="Q75" s="7"/>
    </row>
    <row r="76" spans="1:17" x14ac:dyDescent="0.25">
      <c r="A76" s="7">
        <v>50170</v>
      </c>
      <c r="B76" s="2" t="s">
        <v>257</v>
      </c>
      <c r="C76" s="7"/>
      <c r="D76" s="7"/>
      <c r="E76" s="7"/>
      <c r="F76" s="2"/>
      <c r="G76" s="1" t="s">
        <v>258</v>
      </c>
      <c r="H76" s="2" t="e">
        <f t="shared" ca="1" si="14"/>
        <v>#NAME?</v>
      </c>
      <c r="I76" s="13"/>
      <c r="J76" s="1" t="s">
        <v>259</v>
      </c>
      <c r="K76" s="2" t="e">
        <f t="shared" ca="1" si="15"/>
        <v>#NAME?</v>
      </c>
      <c r="L76" s="1"/>
      <c r="M76" s="2" t="e">
        <f t="shared" ca="1" si="16"/>
        <v>#NAME?</v>
      </c>
      <c r="N76" s="20"/>
      <c r="O76" s="2" t="e">
        <f t="shared" ca="1" si="17"/>
        <v>#NAME?</v>
      </c>
      <c r="P76" s="7"/>
      <c r="Q76" s="7"/>
    </row>
    <row r="77" spans="1:17" x14ac:dyDescent="0.25">
      <c r="A77" s="7">
        <v>50180</v>
      </c>
      <c r="B77" s="2" t="s">
        <v>260</v>
      </c>
      <c r="C77" s="7"/>
      <c r="D77" s="7"/>
      <c r="E77" s="7"/>
      <c r="F77" s="2"/>
      <c r="G77" s="1" t="s">
        <v>261</v>
      </c>
      <c r="H77" s="2" t="e">
        <f t="shared" ca="1" si="14"/>
        <v>#NAME?</v>
      </c>
      <c r="I77" s="13"/>
      <c r="J77" s="1" t="s">
        <v>262</v>
      </c>
      <c r="K77" s="2" t="e">
        <f t="shared" ca="1" si="15"/>
        <v>#NAME?</v>
      </c>
      <c r="L77" s="1"/>
      <c r="M77" s="2" t="e">
        <f t="shared" ca="1" si="16"/>
        <v>#NAME?</v>
      </c>
      <c r="N77" s="20"/>
      <c r="O77" s="2" t="e">
        <f t="shared" ca="1" si="17"/>
        <v>#NAME?</v>
      </c>
      <c r="P77" s="7"/>
      <c r="Q77" s="7"/>
    </row>
    <row r="78" spans="1:17" x14ac:dyDescent="0.25">
      <c r="A78" s="7">
        <v>50190</v>
      </c>
      <c r="B78" s="2" t="s">
        <v>263</v>
      </c>
      <c r="C78" s="7"/>
      <c r="D78" s="7"/>
      <c r="E78" s="7"/>
      <c r="F78" s="2"/>
      <c r="G78" s="1" t="s">
        <v>264</v>
      </c>
      <c r="H78" s="2" t="e">
        <f t="shared" ca="1" si="14"/>
        <v>#NAME?</v>
      </c>
      <c r="I78" s="13"/>
      <c r="J78" s="1" t="s">
        <v>265</v>
      </c>
      <c r="K78" s="2" t="e">
        <f t="shared" ca="1" si="15"/>
        <v>#NAME?</v>
      </c>
      <c r="L78" s="1"/>
      <c r="M78" s="2" t="e">
        <f t="shared" ca="1" si="16"/>
        <v>#NAME?</v>
      </c>
      <c r="N78" s="20"/>
      <c r="O78" s="2" t="e">
        <f t="shared" ca="1" si="17"/>
        <v>#NAME?</v>
      </c>
      <c r="P78" s="7"/>
      <c r="Q78" s="7"/>
    </row>
    <row r="79" spans="1:17" ht="43.2" x14ac:dyDescent="0.25">
      <c r="A79" s="7">
        <v>50200</v>
      </c>
      <c r="B79" s="2" t="s">
        <v>266</v>
      </c>
      <c r="C79" s="7"/>
      <c r="D79" s="7"/>
      <c r="E79" s="7"/>
      <c r="F79" s="2" t="e">
        <f ca="1">ReplaceValuesUDF(E79,"Sheet2")</f>
        <v>#NAME?</v>
      </c>
      <c r="G79" s="1" t="s">
        <v>267</v>
      </c>
      <c r="H79" s="2" t="e">
        <f t="shared" ca="1" si="14"/>
        <v>#NAME?</v>
      </c>
      <c r="I79" s="13"/>
      <c r="J79" s="1" t="s">
        <v>268</v>
      </c>
      <c r="K79" s="2" t="e">
        <f t="shared" ca="1" si="15"/>
        <v>#NAME?</v>
      </c>
      <c r="L79" s="1" t="s">
        <v>269</v>
      </c>
      <c r="M79" s="2" t="e">
        <f t="shared" ca="1" si="16"/>
        <v>#NAME?</v>
      </c>
      <c r="N79" s="20"/>
      <c r="O79" s="2" t="e">
        <f t="shared" ca="1" si="17"/>
        <v>#NAME?</v>
      </c>
      <c r="P79" s="7"/>
      <c r="Q79" s="7"/>
    </row>
    <row r="80" spans="1:17" ht="28.8" x14ac:dyDescent="0.25">
      <c r="A80" s="7">
        <v>60010</v>
      </c>
      <c r="B80" s="2" t="s">
        <v>270</v>
      </c>
      <c r="C80" s="7"/>
      <c r="D80" s="7"/>
      <c r="E80" s="7"/>
      <c r="F80" s="2"/>
      <c r="G80" s="1" t="s">
        <v>271</v>
      </c>
      <c r="H80" s="2" t="e">
        <f t="shared" ca="1" si="14"/>
        <v>#NAME?</v>
      </c>
      <c r="I80" s="13"/>
      <c r="J80" s="1" t="s">
        <v>272</v>
      </c>
      <c r="K80" s="2" t="e">
        <f t="shared" ca="1" si="15"/>
        <v>#NAME?</v>
      </c>
      <c r="L80" s="1"/>
      <c r="M80" s="2" t="e">
        <f t="shared" ca="1" si="16"/>
        <v>#NAME?</v>
      </c>
      <c r="N80" s="20"/>
      <c r="O80" s="2" t="e">
        <f t="shared" ca="1" si="17"/>
        <v>#NAME?</v>
      </c>
      <c r="P80" s="7"/>
      <c r="Q80" s="7"/>
    </row>
    <row r="81" spans="1:17" x14ac:dyDescent="0.25">
      <c r="A81" s="7">
        <v>60020</v>
      </c>
      <c r="B81" s="2" t="s">
        <v>273</v>
      </c>
      <c r="C81" s="7"/>
      <c r="D81" s="7"/>
      <c r="E81" s="7"/>
      <c r="F81" s="2" t="e">
        <f ca="1">ReplaceValuesUDF(E81,"Sheet2")</f>
        <v>#NAME?</v>
      </c>
      <c r="G81" s="1" t="s">
        <v>274</v>
      </c>
      <c r="H81" s="2" t="e">
        <f t="shared" ca="1" si="14"/>
        <v>#NAME?</v>
      </c>
      <c r="I81" s="13"/>
      <c r="J81" s="1" t="s">
        <v>275</v>
      </c>
      <c r="K81" s="2" t="e">
        <f t="shared" ca="1" si="15"/>
        <v>#NAME?</v>
      </c>
      <c r="L81" s="1"/>
      <c r="M81" s="2" t="e">
        <f t="shared" ca="1" si="16"/>
        <v>#NAME?</v>
      </c>
      <c r="N81" s="20"/>
      <c r="O81" s="2" t="e">
        <f t="shared" ca="1" si="17"/>
        <v>#NAME?</v>
      </c>
      <c r="P81" s="7"/>
      <c r="Q81" s="7"/>
    </row>
    <row r="82" spans="1:17" ht="28.8" x14ac:dyDescent="0.25">
      <c r="A82" s="7">
        <v>60030</v>
      </c>
      <c r="B82" s="2" t="s">
        <v>276</v>
      </c>
      <c r="C82" s="7"/>
      <c r="D82" s="7"/>
      <c r="E82" s="7"/>
      <c r="F82" s="2" t="e">
        <f ca="1">ReplaceValuesUDF(E82,"Sheet2")</f>
        <v>#NAME?</v>
      </c>
      <c r="G82" s="1" t="s">
        <v>277</v>
      </c>
      <c r="H82" s="2" t="e">
        <f t="shared" ca="1" si="14"/>
        <v>#NAME?</v>
      </c>
      <c r="I82" s="13"/>
      <c r="J82" s="1" t="s">
        <v>278</v>
      </c>
      <c r="K82" s="2" t="e">
        <f t="shared" ca="1" si="15"/>
        <v>#NAME?</v>
      </c>
      <c r="L82" s="1"/>
      <c r="M82" s="2" t="e">
        <f t="shared" ca="1" si="16"/>
        <v>#NAME?</v>
      </c>
      <c r="N82" s="20"/>
      <c r="O82" s="2" t="e">
        <f t="shared" ca="1" si="17"/>
        <v>#NAME?</v>
      </c>
      <c r="P82" s="7"/>
      <c r="Q82" s="7"/>
    </row>
    <row r="83" spans="1:17" x14ac:dyDescent="0.25">
      <c r="A83" s="7">
        <v>60040</v>
      </c>
      <c r="B83" s="2" t="s">
        <v>279</v>
      </c>
      <c r="C83" s="7"/>
      <c r="D83" s="7"/>
      <c r="E83" s="7"/>
      <c r="F83" s="2"/>
      <c r="G83" s="1" t="s">
        <v>280</v>
      </c>
      <c r="H83" s="2" t="e">
        <f t="shared" ca="1" si="14"/>
        <v>#NAME?</v>
      </c>
      <c r="I83" s="13"/>
      <c r="J83" s="2" t="s">
        <v>281</v>
      </c>
      <c r="K83" s="2" t="e">
        <f t="shared" ca="1" si="15"/>
        <v>#NAME?</v>
      </c>
      <c r="L83" s="2"/>
      <c r="M83" s="2" t="e">
        <f t="shared" ca="1" si="16"/>
        <v>#NAME?</v>
      </c>
      <c r="N83" s="20" t="s">
        <v>282</v>
      </c>
      <c r="O83" s="2" t="e">
        <f t="shared" ca="1" si="17"/>
        <v>#NAME?</v>
      </c>
      <c r="P83" s="20"/>
      <c r="Q83" s="7"/>
    </row>
    <row r="84" spans="1:17" ht="43.2" x14ac:dyDescent="0.25">
      <c r="A84" s="7">
        <v>60050</v>
      </c>
      <c r="B84" s="2" t="s">
        <v>283</v>
      </c>
      <c r="C84" s="7"/>
      <c r="D84" s="7"/>
      <c r="E84" s="7"/>
      <c r="F84" s="2"/>
      <c r="G84" s="1" t="s">
        <v>284</v>
      </c>
      <c r="H84" s="2" t="e">
        <f t="shared" ca="1" si="14"/>
        <v>#NAME?</v>
      </c>
      <c r="I84" s="13"/>
      <c r="J84" s="2" t="s">
        <v>285</v>
      </c>
      <c r="K84" s="2" t="e">
        <f t="shared" ca="1" si="15"/>
        <v>#NAME?</v>
      </c>
      <c r="L84" s="1" t="s">
        <v>286</v>
      </c>
      <c r="M84" s="2" t="e">
        <f t="shared" ca="1" si="16"/>
        <v>#NAME?</v>
      </c>
      <c r="N84" s="20" t="s">
        <v>287</v>
      </c>
      <c r="O84" s="2" t="e">
        <f t="shared" ca="1" si="17"/>
        <v>#NAME?</v>
      </c>
      <c r="P84" s="20"/>
      <c r="Q84" s="7"/>
    </row>
    <row r="85" spans="1:17" x14ac:dyDescent="0.25">
      <c r="A85" s="7">
        <v>89999</v>
      </c>
      <c r="B85" s="2" t="s">
        <v>288</v>
      </c>
      <c r="C85" s="7"/>
      <c r="D85" s="7"/>
      <c r="E85" s="7"/>
      <c r="F85" s="2"/>
      <c r="G85" s="1" t="s">
        <v>289</v>
      </c>
      <c r="H85" s="2" t="e">
        <f t="shared" ca="1" si="14"/>
        <v>#NAME?</v>
      </c>
      <c r="I85" s="13"/>
      <c r="J85" s="4" t="s">
        <v>290</v>
      </c>
      <c r="K85" s="2" t="e">
        <f t="shared" ca="1" si="15"/>
        <v>#NAME?</v>
      </c>
      <c r="L85" s="1" t="s">
        <v>291</v>
      </c>
      <c r="M85" s="2" t="e">
        <f t="shared" ca="1" si="16"/>
        <v>#NAME?</v>
      </c>
      <c r="N85" s="20"/>
      <c r="O85" s="2" t="e">
        <f t="shared" ca="1" si="17"/>
        <v>#NAME?</v>
      </c>
      <c r="P85" s="7"/>
      <c r="Q85" s="7"/>
    </row>
    <row r="86" spans="1:17" ht="28.8" x14ac:dyDescent="0.25">
      <c r="A86" s="7">
        <v>90010</v>
      </c>
      <c r="B86" s="2" t="s">
        <v>292</v>
      </c>
      <c r="C86" s="7">
        <v>120001</v>
      </c>
      <c r="D86" s="7"/>
      <c r="E86" s="7" t="s">
        <v>293</v>
      </c>
      <c r="F86" s="2" t="e">
        <f t="shared" ref="F86:F95" ca="1" si="18">ReplaceValuesUDF(E86,"Sheet2")</f>
        <v>#NAME?</v>
      </c>
      <c r="G86" s="1" t="s">
        <v>294</v>
      </c>
      <c r="H86" s="2" t="e">
        <f t="shared" ca="1" si="14"/>
        <v>#NAME?</v>
      </c>
      <c r="I86" s="7"/>
      <c r="J86" s="2"/>
      <c r="K86" s="2" t="e">
        <f t="shared" ca="1" si="15"/>
        <v>#NAME?</v>
      </c>
      <c r="L86" s="2"/>
      <c r="M86" s="2" t="e">
        <f t="shared" ca="1" si="16"/>
        <v>#NAME?</v>
      </c>
      <c r="N86" s="20"/>
      <c r="O86" s="2" t="e">
        <f t="shared" ca="1" si="17"/>
        <v>#NAME?</v>
      </c>
      <c r="P86" s="20"/>
      <c r="Q86" s="7"/>
    </row>
    <row r="87" spans="1:17" ht="28.8" x14ac:dyDescent="0.25">
      <c r="A87" s="7">
        <v>90020</v>
      </c>
      <c r="B87" s="2" t="s">
        <v>295</v>
      </c>
      <c r="C87" s="7">
        <v>120002</v>
      </c>
      <c r="D87" s="7"/>
      <c r="E87" s="7" t="s">
        <v>296</v>
      </c>
      <c r="F87" s="2" t="e">
        <f t="shared" ca="1" si="18"/>
        <v>#NAME?</v>
      </c>
      <c r="G87" s="13" t="s">
        <v>83</v>
      </c>
      <c r="H87" s="2" t="e">
        <f t="shared" ca="1" si="14"/>
        <v>#NAME?</v>
      </c>
      <c r="I87" s="7"/>
      <c r="J87" s="2"/>
      <c r="K87" s="2" t="e">
        <f t="shared" ca="1" si="15"/>
        <v>#NAME?</v>
      </c>
      <c r="L87" s="2"/>
      <c r="M87" s="2" t="e">
        <f t="shared" ca="1" si="16"/>
        <v>#NAME?</v>
      </c>
      <c r="N87" s="20"/>
      <c r="O87" s="2" t="e">
        <f t="shared" ca="1" si="17"/>
        <v>#NAME?</v>
      </c>
      <c r="P87" s="20"/>
      <c r="Q87" s="7"/>
    </row>
    <row r="88" spans="1:17" ht="28.8" x14ac:dyDescent="0.25">
      <c r="A88" s="7">
        <v>90030</v>
      </c>
      <c r="B88" s="2" t="s">
        <v>297</v>
      </c>
      <c r="C88" s="7">
        <v>120003</v>
      </c>
      <c r="D88" s="7"/>
      <c r="E88" s="7" t="s">
        <v>298</v>
      </c>
      <c r="F88" s="2" t="e">
        <f t="shared" ca="1" si="18"/>
        <v>#NAME?</v>
      </c>
      <c r="G88" s="13" t="s">
        <v>299</v>
      </c>
      <c r="H88" s="2" t="e">
        <f t="shared" ca="1" si="14"/>
        <v>#NAME?</v>
      </c>
      <c r="I88" s="7"/>
      <c r="J88" s="2"/>
      <c r="K88" s="2" t="e">
        <f t="shared" ca="1" si="15"/>
        <v>#NAME?</v>
      </c>
      <c r="L88" s="2"/>
      <c r="M88" s="2" t="e">
        <f t="shared" ca="1" si="16"/>
        <v>#NAME?</v>
      </c>
      <c r="N88" s="20"/>
      <c r="O88" s="2" t="e">
        <f t="shared" ca="1" si="17"/>
        <v>#NAME?</v>
      </c>
      <c r="P88" s="20"/>
      <c r="Q88" s="7"/>
    </row>
    <row r="89" spans="1:17" ht="28.8" x14ac:dyDescent="0.25">
      <c r="A89" s="7">
        <v>90040</v>
      </c>
      <c r="B89" s="2" t="s">
        <v>300</v>
      </c>
      <c r="C89" s="7">
        <v>120004</v>
      </c>
      <c r="D89" s="7"/>
      <c r="E89" s="7" t="s">
        <v>301</v>
      </c>
      <c r="F89" s="2" t="e">
        <f t="shared" ca="1" si="18"/>
        <v>#NAME?</v>
      </c>
      <c r="G89" s="1" t="s">
        <v>302</v>
      </c>
      <c r="H89" s="2" t="e">
        <f t="shared" ca="1" si="14"/>
        <v>#NAME?</v>
      </c>
      <c r="I89" s="7"/>
      <c r="J89" s="2"/>
      <c r="K89" s="2" t="e">
        <f t="shared" ca="1" si="15"/>
        <v>#NAME?</v>
      </c>
      <c r="L89" s="2"/>
      <c r="M89" s="2" t="e">
        <f t="shared" ca="1" si="16"/>
        <v>#NAME?</v>
      </c>
      <c r="N89" s="20"/>
      <c r="O89" s="2" t="e">
        <f t="shared" ca="1" si="17"/>
        <v>#NAME?</v>
      </c>
      <c r="P89" s="20"/>
      <c r="Q89" s="7"/>
    </row>
    <row r="90" spans="1:17" x14ac:dyDescent="0.25">
      <c r="A90" s="7">
        <v>90050</v>
      </c>
      <c r="B90" s="2" t="s">
        <v>303</v>
      </c>
      <c r="C90" s="7">
        <v>120005</v>
      </c>
      <c r="D90" s="7"/>
      <c r="E90" s="7" t="s">
        <v>304</v>
      </c>
      <c r="F90" s="2" t="e">
        <f t="shared" ca="1" si="18"/>
        <v>#NAME?</v>
      </c>
      <c r="G90" s="1" t="s">
        <v>305</v>
      </c>
      <c r="H90" s="2" t="e">
        <f t="shared" ca="1" si="14"/>
        <v>#NAME?</v>
      </c>
      <c r="I90" s="7"/>
      <c r="J90" s="2"/>
      <c r="K90" s="2" t="e">
        <f t="shared" ca="1" si="15"/>
        <v>#NAME?</v>
      </c>
      <c r="L90" s="2"/>
      <c r="M90" s="2" t="e">
        <f t="shared" ca="1" si="16"/>
        <v>#NAME?</v>
      </c>
      <c r="N90" s="20"/>
      <c r="O90" s="2" t="e">
        <f t="shared" ca="1" si="17"/>
        <v>#NAME?</v>
      </c>
      <c r="P90" s="20"/>
      <c r="Q90" s="7"/>
    </row>
    <row r="91" spans="1:17" ht="28.8" x14ac:dyDescent="0.25">
      <c r="A91" s="7">
        <v>90060</v>
      </c>
      <c r="B91" s="2" t="s">
        <v>306</v>
      </c>
      <c r="C91" s="7">
        <v>120006</v>
      </c>
      <c r="D91" s="7"/>
      <c r="E91" s="7" t="s">
        <v>307</v>
      </c>
      <c r="F91" s="2" t="e">
        <f t="shared" ca="1" si="18"/>
        <v>#NAME?</v>
      </c>
      <c r="G91" s="1" t="s">
        <v>267</v>
      </c>
      <c r="H91" s="2" t="e">
        <f t="shared" ca="1" si="14"/>
        <v>#NAME?</v>
      </c>
      <c r="I91" s="7"/>
      <c r="J91" s="2"/>
      <c r="K91" s="2" t="e">
        <f t="shared" ca="1" si="15"/>
        <v>#NAME?</v>
      </c>
      <c r="L91" s="2"/>
      <c r="M91" s="2" t="e">
        <f t="shared" ca="1" si="16"/>
        <v>#NAME?</v>
      </c>
      <c r="N91" s="20"/>
      <c r="O91" s="2" t="e">
        <f t="shared" ca="1" si="17"/>
        <v>#NAME?</v>
      </c>
      <c r="P91" s="20"/>
      <c r="Q91" s="7"/>
    </row>
    <row r="92" spans="1:17" x14ac:dyDescent="0.25">
      <c r="A92" s="7">
        <v>90070</v>
      </c>
      <c r="B92" s="2" t="s">
        <v>308</v>
      </c>
      <c r="C92" s="7">
        <v>120007</v>
      </c>
      <c r="D92" s="7"/>
      <c r="E92" s="7" t="s">
        <v>309</v>
      </c>
      <c r="F92" s="2" t="e">
        <f t="shared" ca="1" si="18"/>
        <v>#NAME?</v>
      </c>
      <c r="G92" s="1" t="s">
        <v>310</v>
      </c>
      <c r="H92" s="2" t="e">
        <f t="shared" ca="1" si="14"/>
        <v>#NAME?</v>
      </c>
      <c r="I92" s="7"/>
      <c r="J92" s="2"/>
      <c r="K92" s="2" t="e">
        <f t="shared" ca="1" si="15"/>
        <v>#NAME?</v>
      </c>
      <c r="L92" s="2"/>
      <c r="M92" s="2" t="e">
        <f t="shared" ca="1" si="16"/>
        <v>#NAME?</v>
      </c>
      <c r="N92" s="20"/>
      <c r="O92" s="2" t="e">
        <f t="shared" ca="1" si="17"/>
        <v>#NAME?</v>
      </c>
      <c r="P92" s="20"/>
      <c r="Q92" s="7"/>
    </row>
    <row r="93" spans="1:17" x14ac:dyDescent="0.25">
      <c r="A93" s="7">
        <v>90080</v>
      </c>
      <c r="B93" s="2" t="s">
        <v>311</v>
      </c>
      <c r="C93" s="7">
        <v>120008</v>
      </c>
      <c r="D93" s="7"/>
      <c r="E93" s="7" t="s">
        <v>312</v>
      </c>
      <c r="F93" s="2" t="e">
        <f t="shared" ca="1" si="18"/>
        <v>#NAME?</v>
      </c>
      <c r="G93" s="1"/>
      <c r="H93" s="2" t="e">
        <f t="shared" ca="1" si="14"/>
        <v>#NAME?</v>
      </c>
      <c r="I93" s="7"/>
      <c r="J93" s="2"/>
      <c r="K93" s="2" t="e">
        <f t="shared" ca="1" si="15"/>
        <v>#NAME?</v>
      </c>
      <c r="L93" s="2"/>
      <c r="M93" s="2" t="e">
        <f t="shared" ca="1" si="16"/>
        <v>#NAME?</v>
      </c>
      <c r="N93" s="20"/>
      <c r="O93" s="2" t="e">
        <f t="shared" ca="1" si="17"/>
        <v>#NAME?</v>
      </c>
      <c r="P93" s="20"/>
      <c r="Q93" s="7"/>
    </row>
    <row r="94" spans="1:17" ht="43.2" x14ac:dyDescent="0.25">
      <c r="A94" s="7">
        <v>99999</v>
      </c>
      <c r="B94" s="2" t="s">
        <v>313</v>
      </c>
      <c r="C94" s="7"/>
      <c r="D94" s="7"/>
      <c r="E94" s="7"/>
      <c r="F94" s="2" t="e">
        <f t="shared" ca="1" si="18"/>
        <v>#NAME?</v>
      </c>
      <c r="G94" s="1" t="s">
        <v>314</v>
      </c>
      <c r="H94" s="2" t="e">
        <f t="shared" ca="1" si="14"/>
        <v>#NAME?</v>
      </c>
      <c r="I94" s="7"/>
      <c r="J94" s="2"/>
      <c r="K94" s="2" t="e">
        <f t="shared" ca="1" si="15"/>
        <v>#NAME?</v>
      </c>
      <c r="L94" s="2"/>
      <c r="M94" s="2" t="e">
        <f t="shared" ca="1" si="16"/>
        <v>#NAME?</v>
      </c>
      <c r="N94" s="20"/>
      <c r="O94" s="2" t="e">
        <f t="shared" ca="1" si="17"/>
        <v>#NAME?</v>
      </c>
      <c r="P94" s="20"/>
      <c r="Q94" s="7"/>
    </row>
    <row r="95" spans="1:17" x14ac:dyDescent="0.25">
      <c r="A95" s="7">
        <v>99998</v>
      </c>
      <c r="B95" s="2" t="s">
        <v>315</v>
      </c>
      <c r="C95" s="7"/>
      <c r="D95" s="7"/>
      <c r="E95" s="7"/>
      <c r="F95" s="2" t="e">
        <f t="shared" ca="1" si="18"/>
        <v>#NAME?</v>
      </c>
      <c r="G95" s="1" t="s">
        <v>293</v>
      </c>
      <c r="H95" s="2" t="e">
        <f t="shared" ca="1" si="14"/>
        <v>#NAME?</v>
      </c>
      <c r="I95" s="7"/>
      <c r="J95" s="2"/>
      <c r="K95" s="2" t="e">
        <f t="shared" ca="1" si="15"/>
        <v>#NAME?</v>
      </c>
      <c r="L95" s="1" t="s">
        <v>316</v>
      </c>
      <c r="M95" s="2" t="e">
        <f t="shared" ca="1" si="16"/>
        <v>#NAME?</v>
      </c>
      <c r="N95" s="20"/>
      <c r="O95" s="2" t="e">
        <f t="shared" ca="1" si="17"/>
        <v>#NAME?</v>
      </c>
      <c r="P95" s="20"/>
      <c r="Q95" s="7"/>
    </row>
  </sheetData>
  <phoneticPr fontId="5" type="noConversion"/>
  <pageMargins left="0.7" right="0.7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78"/>
  <sheetViews>
    <sheetView workbookViewId="0">
      <selection sqref="A1:B478"/>
    </sheetView>
  </sheetViews>
  <sheetFormatPr defaultColWidth="9" defaultRowHeight="14.4" x14ac:dyDescent="0.25"/>
  <cols>
    <col min="1" max="1" width="8.21875" style="4" customWidth="1"/>
    <col min="2" max="2" width="49" style="4" customWidth="1"/>
    <col min="3" max="3" width="12.6640625" style="4" customWidth="1"/>
    <col min="4" max="4" width="10.6640625" style="4" customWidth="1"/>
    <col min="5" max="5" width="10.88671875" style="4" customWidth="1"/>
    <col min="6" max="6" width="21.6640625" style="21" customWidth="1"/>
    <col min="7" max="7" width="31" style="4" customWidth="1"/>
    <col min="8" max="8" width="73.88671875" style="3" customWidth="1"/>
    <col min="9" max="9" width="29" style="3" customWidth="1"/>
    <col min="10" max="10" width="12.33203125" style="6" customWidth="1"/>
    <col min="11" max="11" width="10" style="4" customWidth="1"/>
    <col min="12" max="16384" width="9" style="4"/>
  </cols>
  <sheetData>
    <row r="1" spans="1:11" x14ac:dyDescent="0.25">
      <c r="A1" s="22">
        <v>3010</v>
      </c>
      <c r="B1" s="23" t="s">
        <v>317</v>
      </c>
      <c r="C1" s="7"/>
      <c r="D1" s="7"/>
      <c r="E1" s="7"/>
      <c r="F1" s="13"/>
      <c r="G1" s="13"/>
      <c r="H1" s="1"/>
      <c r="I1" s="1"/>
      <c r="J1" s="20"/>
      <c r="K1" s="7"/>
    </row>
    <row r="2" spans="1:11" x14ac:dyDescent="0.25">
      <c r="A2" s="24">
        <v>3011</v>
      </c>
      <c r="B2" s="25" t="s">
        <v>318</v>
      </c>
      <c r="C2" s="7"/>
      <c r="D2" s="7"/>
      <c r="E2" s="7"/>
      <c r="F2" s="13"/>
      <c r="G2" s="13"/>
      <c r="H2" s="1"/>
      <c r="I2" s="1"/>
      <c r="J2" s="20"/>
      <c r="K2" s="7"/>
    </row>
    <row r="3" spans="1:11" x14ac:dyDescent="0.25">
      <c r="A3" s="24">
        <v>3012</v>
      </c>
      <c r="B3" s="25" t="s">
        <v>319</v>
      </c>
      <c r="C3" s="7"/>
      <c r="D3" s="7"/>
      <c r="E3" s="7"/>
      <c r="F3" s="13"/>
      <c r="G3" s="13"/>
      <c r="H3" s="1"/>
      <c r="I3" s="1"/>
      <c r="J3" s="20"/>
      <c r="K3" s="7"/>
    </row>
    <row r="4" spans="1:11" x14ac:dyDescent="0.25">
      <c r="A4" s="7">
        <v>3015</v>
      </c>
      <c r="B4" s="26" t="s">
        <v>320</v>
      </c>
      <c r="C4" s="7"/>
      <c r="D4" s="7"/>
      <c r="E4" s="7"/>
      <c r="F4" s="13"/>
      <c r="G4" s="13"/>
      <c r="H4" s="1"/>
      <c r="I4" s="1"/>
      <c r="J4" s="20"/>
      <c r="K4" s="7"/>
    </row>
    <row r="5" spans="1:11" x14ac:dyDescent="0.25">
      <c r="A5" s="7">
        <v>3020</v>
      </c>
      <c r="B5" s="26" t="s">
        <v>321</v>
      </c>
      <c r="C5" s="7"/>
      <c r="D5" s="7"/>
      <c r="E5" s="7"/>
      <c r="F5" s="13"/>
      <c r="G5" s="13"/>
      <c r="H5" s="1"/>
      <c r="I5" s="1"/>
      <c r="J5" s="20"/>
      <c r="K5" s="7"/>
    </row>
    <row r="6" spans="1:11" x14ac:dyDescent="0.25">
      <c r="A6" s="7">
        <v>3025</v>
      </c>
      <c r="B6" s="27" t="s">
        <v>322</v>
      </c>
      <c r="C6" s="7"/>
      <c r="D6" s="7"/>
      <c r="E6" s="7"/>
      <c r="F6" s="13"/>
      <c r="G6" s="13"/>
      <c r="H6" s="1"/>
      <c r="I6" s="1"/>
      <c r="J6" s="20"/>
      <c r="K6" s="7"/>
    </row>
    <row r="7" spans="1:11" x14ac:dyDescent="0.25">
      <c r="A7" s="7">
        <v>3030</v>
      </c>
      <c r="B7" s="26" t="s">
        <v>323</v>
      </c>
      <c r="C7" s="7"/>
      <c r="D7" s="7"/>
      <c r="E7" s="7"/>
      <c r="F7" s="13"/>
      <c r="G7" s="13"/>
      <c r="H7" s="1"/>
      <c r="I7" s="1"/>
      <c r="J7" s="20"/>
      <c r="K7" s="7"/>
    </row>
    <row r="8" spans="1:11" x14ac:dyDescent="0.25">
      <c r="A8" s="7">
        <v>3035</v>
      </c>
      <c r="B8" s="26" t="s">
        <v>324</v>
      </c>
      <c r="C8" s="7"/>
      <c r="D8" s="7"/>
      <c r="E8" s="7"/>
      <c r="F8" s="13"/>
      <c r="G8" s="13"/>
      <c r="H8" s="1"/>
      <c r="I8" s="1"/>
      <c r="J8" s="20"/>
      <c r="K8" s="7"/>
    </row>
    <row r="9" spans="1:11" x14ac:dyDescent="0.25">
      <c r="A9" s="28">
        <v>3040</v>
      </c>
      <c r="B9" s="29" t="s">
        <v>325</v>
      </c>
      <c r="C9" s="7"/>
      <c r="D9" s="7"/>
      <c r="E9" s="7"/>
      <c r="F9" s="13"/>
      <c r="G9" s="13"/>
      <c r="H9" s="1"/>
      <c r="I9" s="1"/>
      <c r="J9" s="20"/>
      <c r="K9" s="7"/>
    </row>
    <row r="10" spans="1:11" x14ac:dyDescent="0.25">
      <c r="A10" s="7">
        <v>3041</v>
      </c>
      <c r="B10" s="26" t="s">
        <v>326</v>
      </c>
      <c r="C10" s="7"/>
      <c r="D10" s="7"/>
      <c r="E10" s="7"/>
      <c r="F10" s="13"/>
      <c r="G10" s="13"/>
      <c r="H10" s="1"/>
      <c r="I10" s="1"/>
      <c r="J10" s="20"/>
      <c r="K10" s="7"/>
    </row>
    <row r="11" spans="1:11" x14ac:dyDescent="0.25">
      <c r="A11" s="28">
        <v>3045</v>
      </c>
      <c r="B11" s="29" t="s">
        <v>327</v>
      </c>
      <c r="C11" s="7"/>
      <c r="D11" s="7"/>
      <c r="E11" s="7"/>
      <c r="F11" s="13"/>
      <c r="G11" s="13"/>
      <c r="H11" s="1"/>
      <c r="I11" s="1"/>
      <c r="J11" s="20"/>
      <c r="K11" s="7"/>
    </row>
    <row r="12" spans="1:11" x14ac:dyDescent="0.25">
      <c r="A12" s="28">
        <v>3046</v>
      </c>
      <c r="B12" s="29" t="s">
        <v>328</v>
      </c>
      <c r="C12" s="7"/>
      <c r="D12" s="7"/>
      <c r="E12" s="7"/>
      <c r="F12" s="13"/>
      <c r="G12" s="13"/>
      <c r="H12" s="13"/>
      <c r="I12" s="1"/>
      <c r="J12" s="20"/>
      <c r="K12" s="7"/>
    </row>
    <row r="13" spans="1:11" x14ac:dyDescent="0.25">
      <c r="A13" s="28">
        <v>3047</v>
      </c>
      <c r="B13" s="29" t="s">
        <v>329</v>
      </c>
      <c r="C13" s="7"/>
      <c r="D13" s="7"/>
      <c r="E13" s="7"/>
      <c r="F13" s="13"/>
      <c r="G13" s="13"/>
      <c r="H13" s="1"/>
      <c r="I13" s="1"/>
      <c r="J13" s="20"/>
      <c r="K13" s="7"/>
    </row>
    <row r="14" spans="1:11" x14ac:dyDescent="0.25">
      <c r="A14" s="7">
        <v>3050</v>
      </c>
      <c r="B14" s="26" t="s">
        <v>330</v>
      </c>
      <c r="C14" s="7"/>
      <c r="D14" s="7"/>
      <c r="E14" s="7"/>
      <c r="F14" s="13"/>
      <c r="G14" s="13"/>
      <c r="H14" s="1"/>
      <c r="I14" s="1"/>
      <c r="J14" s="20"/>
      <c r="K14" s="7"/>
    </row>
    <row r="15" spans="1:11" x14ac:dyDescent="0.25">
      <c r="A15" s="24">
        <v>3055</v>
      </c>
      <c r="B15" s="25" t="s">
        <v>331</v>
      </c>
      <c r="C15" s="7"/>
      <c r="D15" s="7"/>
      <c r="E15" s="7"/>
      <c r="F15" s="13"/>
      <c r="G15" s="13"/>
      <c r="H15" s="1"/>
      <c r="I15" s="1"/>
      <c r="J15" s="20"/>
      <c r="K15" s="7"/>
    </row>
    <row r="16" spans="1:11" x14ac:dyDescent="0.25">
      <c r="A16" s="24">
        <v>3060</v>
      </c>
      <c r="B16" s="25" t="s">
        <v>332</v>
      </c>
      <c r="C16" s="7"/>
      <c r="D16" s="7"/>
      <c r="E16" s="7"/>
      <c r="F16" s="13"/>
      <c r="G16" s="13"/>
      <c r="H16" s="1"/>
      <c r="I16" s="1"/>
      <c r="J16" s="20"/>
      <c r="K16" s="7"/>
    </row>
    <row r="17" spans="1:11" x14ac:dyDescent="0.25">
      <c r="A17" s="7">
        <v>3065</v>
      </c>
      <c r="B17" s="26" t="s">
        <v>333</v>
      </c>
      <c r="C17" s="7"/>
      <c r="D17" s="7"/>
      <c r="E17" s="7"/>
      <c r="F17" s="13"/>
      <c r="G17" s="13"/>
      <c r="H17" s="1"/>
      <c r="I17" s="1"/>
      <c r="J17" s="20"/>
      <c r="K17" s="7"/>
    </row>
    <row r="18" spans="1:11" x14ac:dyDescent="0.25">
      <c r="A18" s="7">
        <v>3075</v>
      </c>
      <c r="B18" s="26" t="s">
        <v>334</v>
      </c>
      <c r="D18" s="7"/>
      <c r="E18" s="7"/>
      <c r="F18" s="13"/>
      <c r="G18" s="13"/>
      <c r="H18" s="1"/>
      <c r="I18" s="1"/>
      <c r="J18" s="20"/>
      <c r="K18" s="7"/>
    </row>
    <row r="19" spans="1:11" x14ac:dyDescent="0.25">
      <c r="A19" s="7">
        <v>3080</v>
      </c>
      <c r="B19" s="26" t="s">
        <v>335</v>
      </c>
      <c r="D19" s="7"/>
      <c r="E19" s="7"/>
      <c r="F19" s="13"/>
      <c r="G19" s="13"/>
      <c r="H19" s="1"/>
      <c r="I19" s="1"/>
      <c r="J19" s="20"/>
      <c r="K19" s="7"/>
    </row>
    <row r="20" spans="1:11" x14ac:dyDescent="0.25">
      <c r="A20" s="7">
        <v>3085</v>
      </c>
      <c r="B20" s="26" t="s">
        <v>336</v>
      </c>
      <c r="C20" s="7"/>
      <c r="D20" s="7"/>
      <c r="E20" s="7"/>
      <c r="F20" s="13"/>
      <c r="G20" s="13"/>
      <c r="H20" s="1"/>
      <c r="I20" s="1"/>
      <c r="J20" s="20"/>
      <c r="K20" s="7"/>
    </row>
    <row r="21" spans="1:11" x14ac:dyDescent="0.25">
      <c r="A21" s="7">
        <v>3100</v>
      </c>
      <c r="B21" s="26" t="s">
        <v>337</v>
      </c>
      <c r="C21" s="7"/>
      <c r="D21" s="7"/>
      <c r="E21" s="7"/>
      <c r="F21" s="13"/>
      <c r="G21" s="13"/>
      <c r="H21" s="1"/>
      <c r="I21" s="1"/>
      <c r="J21" s="20"/>
      <c r="K21" s="7"/>
    </row>
    <row r="22" spans="1:11" x14ac:dyDescent="0.25">
      <c r="A22" s="24">
        <v>3101</v>
      </c>
      <c r="B22" s="25" t="s">
        <v>338</v>
      </c>
      <c r="C22" s="7"/>
      <c r="D22" s="7"/>
      <c r="E22" s="7"/>
      <c r="F22" s="13"/>
      <c r="G22" s="13"/>
      <c r="H22" s="1"/>
      <c r="I22" s="1"/>
      <c r="J22" s="20"/>
      <c r="K22" s="7"/>
    </row>
    <row r="23" spans="1:11" x14ac:dyDescent="0.25">
      <c r="A23" s="24">
        <v>3102</v>
      </c>
      <c r="B23" s="25" t="s">
        <v>339</v>
      </c>
      <c r="C23" s="7"/>
      <c r="D23" s="7"/>
      <c r="E23" s="7"/>
      <c r="F23" s="13"/>
      <c r="G23" s="13"/>
      <c r="H23" s="1"/>
      <c r="I23" s="1"/>
      <c r="J23" s="20"/>
      <c r="K23" s="7"/>
    </row>
    <row r="24" spans="1:11" x14ac:dyDescent="0.25">
      <c r="A24" s="7">
        <v>3105</v>
      </c>
      <c r="B24" s="26" t="s">
        <v>340</v>
      </c>
      <c r="C24" s="7"/>
      <c r="D24" s="7"/>
      <c r="E24" s="7"/>
      <c r="F24" s="13"/>
      <c r="G24" s="7"/>
      <c r="H24" s="2"/>
      <c r="I24" s="2"/>
    </row>
    <row r="25" spans="1:11" x14ac:dyDescent="0.25">
      <c r="A25" s="7">
        <v>3110</v>
      </c>
      <c r="B25" s="26" t="s">
        <v>341</v>
      </c>
      <c r="C25" s="7"/>
      <c r="D25" s="7"/>
      <c r="E25" s="7"/>
      <c r="F25" s="13"/>
      <c r="G25" s="7"/>
      <c r="H25" s="2"/>
      <c r="I25" s="2"/>
    </row>
    <row r="26" spans="1:11" x14ac:dyDescent="0.25">
      <c r="A26" s="7">
        <v>3115</v>
      </c>
      <c r="B26" s="26" t="s">
        <v>342</v>
      </c>
      <c r="C26" s="7"/>
      <c r="D26" s="7"/>
      <c r="E26" s="7"/>
      <c r="F26" s="13"/>
      <c r="G26" s="7"/>
      <c r="H26" s="2"/>
      <c r="I26" s="2"/>
    </row>
    <row r="27" spans="1:11" x14ac:dyDescent="0.25">
      <c r="A27" s="24">
        <v>3120</v>
      </c>
      <c r="B27" s="25" t="s">
        <v>343</v>
      </c>
      <c r="C27" s="7"/>
      <c r="D27" s="7"/>
      <c r="E27" s="7"/>
      <c r="F27" s="13"/>
      <c r="G27" s="7"/>
      <c r="H27" s="2"/>
      <c r="I27" s="2"/>
    </row>
    <row r="28" spans="1:11" x14ac:dyDescent="0.25">
      <c r="A28" s="7">
        <v>3125</v>
      </c>
      <c r="B28" s="26" t="s">
        <v>344</v>
      </c>
      <c r="C28" s="7"/>
      <c r="D28" s="7"/>
      <c r="E28" s="7"/>
      <c r="F28" s="13"/>
      <c r="G28" s="7"/>
      <c r="H28" s="2"/>
      <c r="I28" s="2"/>
    </row>
    <row r="29" spans="1:11" x14ac:dyDescent="0.25">
      <c r="A29" s="7">
        <v>3130</v>
      </c>
      <c r="B29" s="26" t="s">
        <v>345</v>
      </c>
      <c r="C29" s="7"/>
      <c r="D29" s="7"/>
      <c r="E29" s="7"/>
      <c r="F29" s="13"/>
      <c r="G29" s="7"/>
      <c r="H29" s="2"/>
      <c r="I29" s="2"/>
    </row>
    <row r="30" spans="1:11" x14ac:dyDescent="0.25">
      <c r="A30" s="24">
        <v>3131</v>
      </c>
      <c r="B30" s="25" t="s">
        <v>346</v>
      </c>
      <c r="C30" s="7"/>
      <c r="D30" s="7"/>
      <c r="E30" s="7"/>
      <c r="F30" s="13"/>
      <c r="G30" s="7"/>
      <c r="H30" s="2"/>
      <c r="I30" s="2"/>
    </row>
    <row r="31" spans="1:11" x14ac:dyDescent="0.25">
      <c r="A31" s="24">
        <v>3132</v>
      </c>
      <c r="B31" s="25" t="s">
        <v>347</v>
      </c>
    </row>
    <row r="32" spans="1:11" x14ac:dyDescent="0.25">
      <c r="A32" s="7">
        <v>3135</v>
      </c>
      <c r="B32" s="26" t="s">
        <v>348</v>
      </c>
    </row>
    <row r="33" spans="1:2" x14ac:dyDescent="0.25">
      <c r="A33" s="7">
        <v>3140</v>
      </c>
      <c r="B33" s="26" t="s">
        <v>349</v>
      </c>
    </row>
    <row r="34" spans="1:2" x14ac:dyDescent="0.25">
      <c r="A34" s="7">
        <v>3145</v>
      </c>
      <c r="B34" s="26" t="s">
        <v>350</v>
      </c>
    </row>
    <row r="35" spans="1:2" x14ac:dyDescent="0.25">
      <c r="A35" s="7">
        <v>3150</v>
      </c>
      <c r="B35" s="30" t="s">
        <v>351</v>
      </c>
    </row>
    <row r="36" spans="1:2" x14ac:dyDescent="0.25">
      <c r="A36" s="7">
        <v>3151</v>
      </c>
      <c r="B36" s="26" t="s">
        <v>352</v>
      </c>
    </row>
    <row r="37" spans="1:2" x14ac:dyDescent="0.25">
      <c r="A37" s="7">
        <v>3155</v>
      </c>
      <c r="B37" s="26" t="s">
        <v>353</v>
      </c>
    </row>
    <row r="38" spans="1:2" x14ac:dyDescent="0.25">
      <c r="A38" s="7">
        <v>3160</v>
      </c>
      <c r="B38" s="26" t="s">
        <v>354</v>
      </c>
    </row>
    <row r="39" spans="1:2" x14ac:dyDescent="0.25">
      <c r="A39" s="24">
        <v>3163</v>
      </c>
      <c r="B39" s="25" t="s">
        <v>355</v>
      </c>
    </row>
    <row r="40" spans="1:2" x14ac:dyDescent="0.25">
      <c r="A40" s="24">
        <v>3164</v>
      </c>
      <c r="B40" s="25" t="s">
        <v>356</v>
      </c>
    </row>
    <row r="41" spans="1:2" x14ac:dyDescent="0.25">
      <c r="A41" s="7">
        <v>3161</v>
      </c>
      <c r="B41" s="26" t="s">
        <v>357</v>
      </c>
    </row>
    <row r="42" spans="1:2" x14ac:dyDescent="0.25">
      <c r="A42" s="7">
        <v>3165</v>
      </c>
      <c r="B42" s="26" t="s">
        <v>358</v>
      </c>
    </row>
    <row r="43" spans="1:2" x14ac:dyDescent="0.25">
      <c r="A43" s="7">
        <v>3170</v>
      </c>
      <c r="B43" s="26" t="s">
        <v>359</v>
      </c>
    </row>
    <row r="44" spans="1:2" x14ac:dyDescent="0.25">
      <c r="A44" s="7">
        <v>3175</v>
      </c>
      <c r="B44" s="26" t="s">
        <v>360</v>
      </c>
    </row>
    <row r="45" spans="1:2" x14ac:dyDescent="0.25">
      <c r="A45" s="7">
        <v>3176</v>
      </c>
      <c r="B45" s="26" t="s">
        <v>361</v>
      </c>
    </row>
    <row r="46" spans="1:2" x14ac:dyDescent="0.25">
      <c r="A46" s="7">
        <v>3177</v>
      </c>
      <c r="B46" s="26" t="s">
        <v>362</v>
      </c>
    </row>
    <row r="47" spans="1:2" x14ac:dyDescent="0.25">
      <c r="A47" s="7">
        <v>3180</v>
      </c>
      <c r="B47" s="26" t="s">
        <v>363</v>
      </c>
    </row>
    <row r="48" spans="1:2" x14ac:dyDescent="0.25">
      <c r="A48" s="24">
        <v>3185</v>
      </c>
      <c r="B48" s="25" t="s">
        <v>364</v>
      </c>
    </row>
    <row r="49" spans="1:2" x14ac:dyDescent="0.25">
      <c r="A49" s="7">
        <v>3190</v>
      </c>
      <c r="B49" s="26" t="s">
        <v>365</v>
      </c>
    </row>
    <row r="50" spans="1:2" x14ac:dyDescent="0.25">
      <c r="A50" s="7">
        <v>3191</v>
      </c>
      <c r="B50" s="26" t="s">
        <v>366</v>
      </c>
    </row>
    <row r="51" spans="1:2" x14ac:dyDescent="0.25">
      <c r="A51" s="7">
        <v>3192</v>
      </c>
      <c r="B51" s="26" t="s">
        <v>367</v>
      </c>
    </row>
    <row r="52" spans="1:2" x14ac:dyDescent="0.25">
      <c r="A52" s="7">
        <v>3193</v>
      </c>
      <c r="B52" s="26" t="s">
        <v>368</v>
      </c>
    </row>
    <row r="53" spans="1:2" x14ac:dyDescent="0.25">
      <c r="A53" s="7">
        <v>3194</v>
      </c>
      <c r="B53" s="26" t="s">
        <v>369</v>
      </c>
    </row>
    <row r="54" spans="1:2" x14ac:dyDescent="0.25">
      <c r="A54" s="7">
        <v>3195</v>
      </c>
      <c r="B54" s="26" t="s">
        <v>370</v>
      </c>
    </row>
    <row r="55" spans="1:2" x14ac:dyDescent="0.25">
      <c r="A55" s="7">
        <v>3196</v>
      </c>
      <c r="B55" s="26" t="s">
        <v>371</v>
      </c>
    </row>
    <row r="56" spans="1:2" x14ac:dyDescent="0.25">
      <c r="A56" s="7">
        <v>3197</v>
      </c>
      <c r="B56" s="26" t="s">
        <v>372</v>
      </c>
    </row>
    <row r="57" spans="1:2" x14ac:dyDescent="0.25">
      <c r="A57" s="7">
        <v>3198</v>
      </c>
      <c r="B57" s="26" t="s">
        <v>373</v>
      </c>
    </row>
    <row r="58" spans="1:2" x14ac:dyDescent="0.25">
      <c r="A58" s="7">
        <v>3199</v>
      </c>
      <c r="B58" s="31" t="s">
        <v>374</v>
      </c>
    </row>
    <row r="59" spans="1:2" x14ac:dyDescent="0.25">
      <c r="A59" s="7">
        <v>3200</v>
      </c>
      <c r="B59" s="26" t="s">
        <v>375</v>
      </c>
    </row>
    <row r="60" spans="1:2" x14ac:dyDescent="0.25">
      <c r="A60" s="24">
        <v>3205</v>
      </c>
      <c r="B60" s="25" t="s">
        <v>376</v>
      </c>
    </row>
    <row r="61" spans="1:2" x14ac:dyDescent="0.25">
      <c r="A61" s="7">
        <v>3210</v>
      </c>
      <c r="B61" s="26" t="s">
        <v>377</v>
      </c>
    </row>
    <row r="62" spans="1:2" x14ac:dyDescent="0.25">
      <c r="A62" s="7">
        <v>3215</v>
      </c>
      <c r="B62" s="26" t="s">
        <v>378</v>
      </c>
    </row>
    <row r="63" spans="1:2" x14ac:dyDescent="0.25">
      <c r="A63" s="7">
        <v>3220</v>
      </c>
      <c r="B63" s="30" t="s">
        <v>379</v>
      </c>
    </row>
    <row r="64" spans="1:2" x14ac:dyDescent="0.25">
      <c r="A64" s="7">
        <v>3225</v>
      </c>
      <c r="B64" s="26" t="s">
        <v>380</v>
      </c>
    </row>
    <row r="65" spans="1:2" x14ac:dyDescent="0.25">
      <c r="A65" s="24">
        <v>3226</v>
      </c>
      <c r="B65" s="25" t="s">
        <v>381</v>
      </c>
    </row>
    <row r="66" spans="1:2" x14ac:dyDescent="0.25">
      <c r="A66" s="7">
        <v>3230</v>
      </c>
      <c r="B66" s="30" t="s">
        <v>382</v>
      </c>
    </row>
    <row r="67" spans="1:2" x14ac:dyDescent="0.25">
      <c r="A67" s="24">
        <v>3235</v>
      </c>
      <c r="B67" s="25" t="s">
        <v>383</v>
      </c>
    </row>
    <row r="68" spans="1:2" x14ac:dyDescent="0.25">
      <c r="A68" s="24">
        <v>3240</v>
      </c>
      <c r="B68" s="25" t="s">
        <v>384</v>
      </c>
    </row>
    <row r="69" spans="1:2" x14ac:dyDescent="0.25">
      <c r="A69" s="7">
        <v>3245</v>
      </c>
      <c r="B69" s="26" t="s">
        <v>385</v>
      </c>
    </row>
    <row r="70" spans="1:2" x14ac:dyDescent="0.25">
      <c r="A70" s="28">
        <v>3250</v>
      </c>
      <c r="B70" s="28" t="s">
        <v>386</v>
      </c>
    </row>
    <row r="71" spans="1:2" x14ac:dyDescent="0.25">
      <c r="A71" s="7">
        <v>3255</v>
      </c>
      <c r="B71" s="32" t="s">
        <v>387</v>
      </c>
    </row>
    <row r="72" spans="1:2" x14ac:dyDescent="0.25">
      <c r="A72" s="7">
        <v>3260</v>
      </c>
      <c r="B72" s="7" t="s">
        <v>388</v>
      </c>
    </row>
    <row r="73" spans="1:2" x14ac:dyDescent="0.25">
      <c r="A73" s="7">
        <v>3265</v>
      </c>
      <c r="B73" s="7" t="s">
        <v>389</v>
      </c>
    </row>
    <row r="74" spans="1:2" x14ac:dyDescent="0.25">
      <c r="A74" s="7">
        <v>3270</v>
      </c>
      <c r="B74" s="7" t="s">
        <v>390</v>
      </c>
    </row>
    <row r="75" spans="1:2" x14ac:dyDescent="0.25">
      <c r="A75" s="7">
        <v>3275</v>
      </c>
      <c r="B75" s="7" t="s">
        <v>391</v>
      </c>
    </row>
    <row r="76" spans="1:2" x14ac:dyDescent="0.25">
      <c r="A76" s="7">
        <v>3280</v>
      </c>
      <c r="B76" s="7" t="s">
        <v>392</v>
      </c>
    </row>
    <row r="77" spans="1:2" x14ac:dyDescent="0.25">
      <c r="A77" s="7">
        <v>3285</v>
      </c>
      <c r="B77" s="7" t="s">
        <v>393</v>
      </c>
    </row>
    <row r="78" spans="1:2" x14ac:dyDescent="0.25">
      <c r="A78" s="7">
        <v>3290</v>
      </c>
      <c r="B78" s="7" t="s">
        <v>394</v>
      </c>
    </row>
    <row r="79" spans="1:2" x14ac:dyDescent="0.25">
      <c r="A79" s="7">
        <v>3295</v>
      </c>
      <c r="B79" s="7" t="s">
        <v>395</v>
      </c>
    </row>
    <row r="80" spans="1:2" x14ac:dyDescent="0.25">
      <c r="A80" s="7">
        <v>3300</v>
      </c>
      <c r="B80" s="7" t="s">
        <v>396</v>
      </c>
    </row>
    <row r="81" spans="1:2" x14ac:dyDescent="0.25">
      <c r="A81" s="7">
        <v>3305</v>
      </c>
      <c r="B81" s="7" t="s">
        <v>397</v>
      </c>
    </row>
    <row r="82" spans="1:2" x14ac:dyDescent="0.25">
      <c r="A82" s="7">
        <v>3310</v>
      </c>
      <c r="B82" s="7" t="s">
        <v>146</v>
      </c>
    </row>
    <row r="83" spans="1:2" x14ac:dyDescent="0.25">
      <c r="A83" s="7">
        <v>3315</v>
      </c>
      <c r="B83" s="7" t="s">
        <v>398</v>
      </c>
    </row>
    <row r="84" spans="1:2" x14ac:dyDescent="0.25">
      <c r="A84" s="7">
        <v>3320</v>
      </c>
      <c r="B84" s="7" t="s">
        <v>399</v>
      </c>
    </row>
    <row r="85" spans="1:2" x14ac:dyDescent="0.25">
      <c r="A85" s="7">
        <v>3325</v>
      </c>
      <c r="B85" s="26" t="s">
        <v>400</v>
      </c>
    </row>
    <row r="86" spans="1:2" x14ac:dyDescent="0.25">
      <c r="A86" s="7">
        <v>3326</v>
      </c>
      <c r="B86" s="26" t="s">
        <v>401</v>
      </c>
    </row>
    <row r="87" spans="1:2" x14ac:dyDescent="0.25">
      <c r="A87" s="24">
        <v>3327</v>
      </c>
      <c r="B87" s="25" t="s">
        <v>402</v>
      </c>
    </row>
    <row r="88" spans="1:2" x14ac:dyDescent="0.25">
      <c r="A88" s="7">
        <v>3328</v>
      </c>
      <c r="B88" s="26" t="s">
        <v>403</v>
      </c>
    </row>
    <row r="89" spans="1:2" x14ac:dyDescent="0.25">
      <c r="A89" s="7">
        <v>3329</v>
      </c>
      <c r="B89" s="26" t="s">
        <v>404</v>
      </c>
    </row>
    <row r="90" spans="1:2" x14ac:dyDescent="0.25">
      <c r="A90" s="24">
        <v>3330</v>
      </c>
      <c r="B90" s="24" t="s">
        <v>405</v>
      </c>
    </row>
    <row r="91" spans="1:2" x14ac:dyDescent="0.25">
      <c r="A91" s="7">
        <v>3335</v>
      </c>
      <c r="B91" s="26" t="s">
        <v>406</v>
      </c>
    </row>
    <row r="92" spans="1:2" x14ac:dyDescent="0.25">
      <c r="A92" s="7">
        <v>3340</v>
      </c>
      <c r="B92" s="26" t="s">
        <v>407</v>
      </c>
    </row>
    <row r="93" spans="1:2" x14ac:dyDescent="0.25">
      <c r="A93" s="7">
        <v>3345</v>
      </c>
      <c r="B93" s="26" t="s">
        <v>408</v>
      </c>
    </row>
    <row r="94" spans="1:2" x14ac:dyDescent="0.25">
      <c r="A94" s="24">
        <v>3350</v>
      </c>
      <c r="B94" s="24" t="s">
        <v>409</v>
      </c>
    </row>
    <row r="95" spans="1:2" x14ac:dyDescent="0.25">
      <c r="A95" s="24">
        <v>3351</v>
      </c>
      <c r="B95" s="24" t="s">
        <v>410</v>
      </c>
    </row>
    <row r="96" spans="1:2" x14ac:dyDescent="0.25">
      <c r="A96" s="24">
        <v>3355</v>
      </c>
      <c r="B96" s="25" t="s">
        <v>411</v>
      </c>
    </row>
    <row r="97" spans="1:2" x14ac:dyDescent="0.25">
      <c r="A97" s="24">
        <v>3360</v>
      </c>
      <c r="B97" s="25" t="s">
        <v>412</v>
      </c>
    </row>
    <row r="98" spans="1:2" x14ac:dyDescent="0.25">
      <c r="A98" s="24">
        <v>3365</v>
      </c>
      <c r="B98" s="25" t="s">
        <v>413</v>
      </c>
    </row>
    <row r="99" spans="1:2" x14ac:dyDescent="0.25">
      <c r="A99" s="24">
        <v>3370</v>
      </c>
      <c r="B99" s="25" t="s">
        <v>414</v>
      </c>
    </row>
    <row r="100" spans="1:2" x14ac:dyDescent="0.25">
      <c r="A100" s="24">
        <v>3375</v>
      </c>
      <c r="B100" s="25" t="s">
        <v>415</v>
      </c>
    </row>
    <row r="101" spans="1:2" x14ac:dyDescent="0.25">
      <c r="A101" s="7">
        <v>3380</v>
      </c>
      <c r="B101" s="26" t="s">
        <v>416</v>
      </c>
    </row>
    <row r="102" spans="1:2" x14ac:dyDescent="0.25">
      <c r="A102" s="7">
        <v>3384</v>
      </c>
      <c r="B102" s="26" t="s">
        <v>417</v>
      </c>
    </row>
    <row r="103" spans="1:2" x14ac:dyDescent="0.25">
      <c r="A103" s="7">
        <v>3385</v>
      </c>
      <c r="B103" s="26" t="s">
        <v>418</v>
      </c>
    </row>
    <row r="104" spans="1:2" x14ac:dyDescent="0.25">
      <c r="A104" s="7">
        <v>3386</v>
      </c>
      <c r="B104" s="26" t="s">
        <v>419</v>
      </c>
    </row>
    <row r="105" spans="1:2" x14ac:dyDescent="0.25">
      <c r="A105" s="7">
        <v>3390</v>
      </c>
      <c r="B105" s="26" t="s">
        <v>420</v>
      </c>
    </row>
    <row r="106" spans="1:2" x14ac:dyDescent="0.25">
      <c r="A106" s="7">
        <v>3391</v>
      </c>
      <c r="B106" s="26" t="s">
        <v>421</v>
      </c>
    </row>
    <row r="107" spans="1:2" x14ac:dyDescent="0.25">
      <c r="A107" s="7">
        <v>3392</v>
      </c>
      <c r="B107" s="26" t="s">
        <v>422</v>
      </c>
    </row>
    <row r="108" spans="1:2" x14ac:dyDescent="0.25">
      <c r="A108" s="7">
        <v>3395</v>
      </c>
      <c r="B108" s="26" t="s">
        <v>423</v>
      </c>
    </row>
    <row r="109" spans="1:2" x14ac:dyDescent="0.25">
      <c r="A109" s="7">
        <v>3400</v>
      </c>
      <c r="B109" s="26" t="s">
        <v>424</v>
      </c>
    </row>
    <row r="110" spans="1:2" x14ac:dyDescent="0.25">
      <c r="A110" s="7">
        <v>3405</v>
      </c>
      <c r="B110" s="26" t="s">
        <v>425</v>
      </c>
    </row>
    <row r="111" spans="1:2" x14ac:dyDescent="0.25">
      <c r="A111" s="24">
        <v>3420</v>
      </c>
      <c r="B111" s="25" t="s">
        <v>426</v>
      </c>
    </row>
    <row r="112" spans="1:2" x14ac:dyDescent="0.25">
      <c r="A112" s="24">
        <v>3425</v>
      </c>
      <c r="B112" s="25" t="s">
        <v>427</v>
      </c>
    </row>
    <row r="113" spans="1:2" x14ac:dyDescent="0.25">
      <c r="A113" s="7">
        <v>3430</v>
      </c>
      <c r="B113" s="26" t="s">
        <v>428</v>
      </c>
    </row>
    <row r="114" spans="1:2" x14ac:dyDescent="0.25">
      <c r="A114" s="24">
        <v>3440</v>
      </c>
      <c r="B114" s="25" t="s">
        <v>429</v>
      </c>
    </row>
    <row r="115" spans="1:2" x14ac:dyDescent="0.25">
      <c r="A115" s="7">
        <v>3445</v>
      </c>
      <c r="B115" s="26" t="s">
        <v>430</v>
      </c>
    </row>
    <row r="116" spans="1:2" x14ac:dyDescent="0.25">
      <c r="A116" s="7">
        <v>3450</v>
      </c>
      <c r="B116" s="26" t="s">
        <v>431</v>
      </c>
    </row>
    <row r="117" spans="1:2" x14ac:dyDescent="0.25">
      <c r="A117" s="7">
        <v>3455</v>
      </c>
      <c r="B117" s="26" t="s">
        <v>432</v>
      </c>
    </row>
    <row r="118" spans="1:2" x14ac:dyDescent="0.25">
      <c r="A118" s="7">
        <v>3460</v>
      </c>
      <c r="B118" s="26" t="s">
        <v>433</v>
      </c>
    </row>
    <row r="119" spans="1:2" x14ac:dyDescent="0.25">
      <c r="A119" s="7">
        <v>3465</v>
      </c>
      <c r="B119" s="26" t="s">
        <v>434</v>
      </c>
    </row>
    <row r="120" spans="1:2" x14ac:dyDescent="0.25">
      <c r="A120" s="7">
        <v>3470</v>
      </c>
      <c r="B120" s="26" t="s">
        <v>435</v>
      </c>
    </row>
    <row r="121" spans="1:2" x14ac:dyDescent="0.25">
      <c r="A121" s="7">
        <v>3475</v>
      </c>
      <c r="B121" s="26" t="s">
        <v>436</v>
      </c>
    </row>
    <row r="122" spans="1:2" x14ac:dyDescent="0.25">
      <c r="A122" s="33">
        <v>3480</v>
      </c>
      <c r="B122" s="33" t="s">
        <v>437</v>
      </c>
    </row>
    <row r="123" spans="1:2" x14ac:dyDescent="0.25">
      <c r="A123" s="24">
        <v>3485</v>
      </c>
      <c r="B123" s="24" t="s">
        <v>438</v>
      </c>
    </row>
    <row r="124" spans="1:2" x14ac:dyDescent="0.25">
      <c r="A124" s="7">
        <v>3490</v>
      </c>
      <c r="B124" s="26" t="s">
        <v>439</v>
      </c>
    </row>
    <row r="125" spans="1:2" x14ac:dyDescent="0.25">
      <c r="A125" s="24">
        <v>3985</v>
      </c>
      <c r="B125" s="25" t="s">
        <v>440</v>
      </c>
    </row>
    <row r="126" spans="1:2" x14ac:dyDescent="0.25">
      <c r="A126" s="24">
        <v>3990</v>
      </c>
      <c r="B126" s="25" t="s">
        <v>441</v>
      </c>
    </row>
    <row r="127" spans="1:2" x14ac:dyDescent="0.25">
      <c r="A127" s="24">
        <v>3995</v>
      </c>
      <c r="B127" s="25" t="s">
        <v>442</v>
      </c>
    </row>
    <row r="128" spans="1:2" x14ac:dyDescent="0.25">
      <c r="A128" s="7">
        <v>1010</v>
      </c>
      <c r="B128" s="26" t="s">
        <v>443</v>
      </c>
    </row>
    <row r="129" spans="1:2" x14ac:dyDescent="0.25">
      <c r="A129" s="7">
        <v>1015</v>
      </c>
      <c r="B129" s="26" t="s">
        <v>444</v>
      </c>
    </row>
    <row r="130" spans="1:2" x14ac:dyDescent="0.25">
      <c r="A130" s="7">
        <v>1020</v>
      </c>
      <c r="B130" s="26" t="s">
        <v>445</v>
      </c>
    </row>
    <row r="131" spans="1:2" x14ac:dyDescent="0.25">
      <c r="A131" s="7">
        <v>1025</v>
      </c>
      <c r="B131" s="26" t="s">
        <v>446</v>
      </c>
    </row>
    <row r="132" spans="1:2" x14ac:dyDescent="0.25">
      <c r="A132" s="24">
        <v>1026</v>
      </c>
      <c r="B132" s="25" t="s">
        <v>447</v>
      </c>
    </row>
    <row r="133" spans="1:2" x14ac:dyDescent="0.25">
      <c r="A133" s="24">
        <v>1027</v>
      </c>
      <c r="B133" s="25" t="s">
        <v>448</v>
      </c>
    </row>
    <row r="134" spans="1:2" x14ac:dyDescent="0.25">
      <c r="A134" s="7">
        <v>1030</v>
      </c>
      <c r="B134" s="26" t="s">
        <v>449</v>
      </c>
    </row>
    <row r="135" spans="1:2" x14ac:dyDescent="0.25">
      <c r="A135" s="34">
        <v>1034</v>
      </c>
      <c r="B135" s="35" t="s">
        <v>450</v>
      </c>
    </row>
    <row r="136" spans="1:2" x14ac:dyDescent="0.25">
      <c r="A136" s="7">
        <v>1035</v>
      </c>
      <c r="B136" s="26" t="s">
        <v>451</v>
      </c>
    </row>
    <row r="137" spans="1:2" x14ac:dyDescent="0.25">
      <c r="A137" s="24">
        <v>1040</v>
      </c>
      <c r="B137" s="25" t="s">
        <v>452</v>
      </c>
    </row>
    <row r="138" spans="1:2" x14ac:dyDescent="0.25">
      <c r="A138" s="7">
        <v>1045</v>
      </c>
      <c r="B138" s="26" t="s">
        <v>453</v>
      </c>
    </row>
    <row r="139" spans="1:2" x14ac:dyDescent="0.25">
      <c r="A139" s="7">
        <v>1050</v>
      </c>
      <c r="B139" s="26" t="s">
        <v>454</v>
      </c>
    </row>
    <row r="140" spans="1:2" x14ac:dyDescent="0.25">
      <c r="A140" s="24">
        <v>1075</v>
      </c>
      <c r="B140" s="25" t="s">
        <v>455</v>
      </c>
    </row>
    <row r="141" spans="1:2" x14ac:dyDescent="0.25">
      <c r="A141" s="7">
        <v>1051</v>
      </c>
      <c r="B141" s="26" t="s">
        <v>456</v>
      </c>
    </row>
    <row r="142" spans="1:2" x14ac:dyDescent="0.25">
      <c r="A142" s="24">
        <v>1080</v>
      </c>
      <c r="B142" s="25" t="s">
        <v>457</v>
      </c>
    </row>
    <row r="143" spans="1:2" x14ac:dyDescent="0.25">
      <c r="A143" s="7">
        <v>1052</v>
      </c>
      <c r="B143" s="26" t="s">
        <v>458</v>
      </c>
    </row>
    <row r="144" spans="1:2" x14ac:dyDescent="0.25">
      <c r="A144" s="7">
        <v>1055</v>
      </c>
      <c r="B144" s="26" t="s">
        <v>459</v>
      </c>
    </row>
    <row r="145" spans="1:2" x14ac:dyDescent="0.25">
      <c r="A145" s="7">
        <v>1060</v>
      </c>
      <c r="B145" s="26" t="s">
        <v>460</v>
      </c>
    </row>
    <row r="146" spans="1:2" x14ac:dyDescent="0.25">
      <c r="A146" s="7">
        <v>1061</v>
      </c>
      <c r="B146" s="26" t="s">
        <v>461</v>
      </c>
    </row>
    <row r="147" spans="1:2" x14ac:dyDescent="0.25">
      <c r="A147" s="7">
        <v>1065</v>
      </c>
      <c r="B147" s="26" t="s">
        <v>462</v>
      </c>
    </row>
    <row r="148" spans="1:2" x14ac:dyDescent="0.25">
      <c r="A148" s="7">
        <v>1066</v>
      </c>
      <c r="B148" s="26" t="s">
        <v>463</v>
      </c>
    </row>
    <row r="149" spans="1:2" x14ac:dyDescent="0.25">
      <c r="A149" s="7">
        <v>1070</v>
      </c>
      <c r="B149" s="26" t="s">
        <v>464</v>
      </c>
    </row>
    <row r="150" spans="1:2" x14ac:dyDescent="0.25">
      <c r="A150" s="7">
        <v>1085</v>
      </c>
      <c r="B150" s="26" t="s">
        <v>465</v>
      </c>
    </row>
    <row r="151" spans="1:2" x14ac:dyDescent="0.25">
      <c r="A151" s="7">
        <v>1090</v>
      </c>
      <c r="B151" s="26" t="s">
        <v>466</v>
      </c>
    </row>
    <row r="152" spans="1:2" x14ac:dyDescent="0.25">
      <c r="A152" s="7">
        <v>1100</v>
      </c>
      <c r="B152" s="26" t="s">
        <v>467</v>
      </c>
    </row>
    <row r="153" spans="1:2" x14ac:dyDescent="0.25">
      <c r="A153" s="7">
        <v>1105</v>
      </c>
      <c r="B153" s="31" t="s">
        <v>468</v>
      </c>
    </row>
    <row r="154" spans="1:2" x14ac:dyDescent="0.25">
      <c r="A154" s="7">
        <v>1110</v>
      </c>
      <c r="B154" s="31" t="s">
        <v>469</v>
      </c>
    </row>
    <row r="155" spans="1:2" x14ac:dyDescent="0.25">
      <c r="A155" s="7">
        <v>1115</v>
      </c>
      <c r="B155" s="31" t="s">
        <v>470</v>
      </c>
    </row>
    <row r="156" spans="1:2" x14ac:dyDescent="0.25">
      <c r="A156" s="7">
        <v>1120</v>
      </c>
      <c r="B156" s="31" t="s">
        <v>471</v>
      </c>
    </row>
    <row r="157" spans="1:2" x14ac:dyDescent="0.25">
      <c r="A157" s="7">
        <v>1125</v>
      </c>
      <c r="B157" s="31" t="s">
        <v>472</v>
      </c>
    </row>
    <row r="158" spans="1:2" x14ac:dyDescent="0.25">
      <c r="A158" s="7">
        <v>1130</v>
      </c>
      <c r="B158" s="31" t="s">
        <v>473</v>
      </c>
    </row>
    <row r="159" spans="1:2" x14ac:dyDescent="0.25">
      <c r="A159" s="7">
        <v>1200</v>
      </c>
      <c r="B159" s="31" t="s">
        <v>474</v>
      </c>
    </row>
    <row r="160" spans="1:2" x14ac:dyDescent="0.25">
      <c r="A160" s="7">
        <v>2010</v>
      </c>
      <c r="B160" s="26" t="s">
        <v>475</v>
      </c>
    </row>
    <row r="161" spans="1:2" x14ac:dyDescent="0.25">
      <c r="A161" s="7">
        <v>2015</v>
      </c>
      <c r="B161" s="26" t="s">
        <v>476</v>
      </c>
    </row>
    <row r="162" spans="1:2" x14ac:dyDescent="0.25">
      <c r="A162" s="7">
        <v>2020</v>
      </c>
      <c r="B162" s="26" t="s">
        <v>477</v>
      </c>
    </row>
    <row r="163" spans="1:2" x14ac:dyDescent="0.25">
      <c r="A163" s="7">
        <v>2025</v>
      </c>
      <c r="B163" s="26" t="s">
        <v>478</v>
      </c>
    </row>
    <row r="164" spans="1:2" x14ac:dyDescent="0.25">
      <c r="A164" s="7">
        <v>2030</v>
      </c>
      <c r="B164" s="26" t="s">
        <v>479</v>
      </c>
    </row>
    <row r="165" spans="1:2" x14ac:dyDescent="0.25">
      <c r="A165" s="7">
        <v>2035</v>
      </c>
      <c r="B165" s="26" t="s">
        <v>480</v>
      </c>
    </row>
    <row r="166" spans="1:2" x14ac:dyDescent="0.25">
      <c r="A166" s="7">
        <v>2040</v>
      </c>
      <c r="B166" s="26" t="s">
        <v>481</v>
      </c>
    </row>
    <row r="167" spans="1:2" x14ac:dyDescent="0.25">
      <c r="A167" s="7">
        <v>2045</v>
      </c>
      <c r="B167" s="26" t="s">
        <v>482</v>
      </c>
    </row>
    <row r="168" spans="1:2" x14ac:dyDescent="0.25">
      <c r="A168" s="7">
        <v>2050</v>
      </c>
      <c r="B168" s="26" t="s">
        <v>483</v>
      </c>
    </row>
    <row r="169" spans="1:2" x14ac:dyDescent="0.25">
      <c r="A169" s="7">
        <v>2055</v>
      </c>
      <c r="B169" s="26" t="s">
        <v>484</v>
      </c>
    </row>
    <row r="170" spans="1:2" x14ac:dyDescent="0.25">
      <c r="A170" s="24">
        <v>2060</v>
      </c>
      <c r="B170" s="25" t="s">
        <v>485</v>
      </c>
    </row>
    <row r="171" spans="1:2" x14ac:dyDescent="0.25">
      <c r="A171" s="7">
        <v>2061</v>
      </c>
      <c r="B171" s="26" t="s">
        <v>486</v>
      </c>
    </row>
    <row r="172" spans="1:2" x14ac:dyDescent="0.25">
      <c r="A172" s="7">
        <v>2065</v>
      </c>
      <c r="B172" s="26" t="s">
        <v>487</v>
      </c>
    </row>
    <row r="173" spans="1:2" x14ac:dyDescent="0.25">
      <c r="A173" s="24">
        <v>2067</v>
      </c>
      <c r="B173" s="25" t="s">
        <v>488</v>
      </c>
    </row>
    <row r="174" spans="1:2" x14ac:dyDescent="0.25">
      <c r="A174" s="7">
        <v>2066</v>
      </c>
      <c r="B174" s="26" t="s">
        <v>489</v>
      </c>
    </row>
    <row r="175" spans="1:2" x14ac:dyDescent="0.25">
      <c r="A175" s="24">
        <v>2068</v>
      </c>
      <c r="B175" s="25" t="s">
        <v>490</v>
      </c>
    </row>
    <row r="176" spans="1:2" x14ac:dyDescent="0.25">
      <c r="A176" s="7">
        <v>2070</v>
      </c>
      <c r="B176" s="26" t="s">
        <v>491</v>
      </c>
    </row>
    <row r="177" spans="1:2" x14ac:dyDescent="0.25">
      <c r="A177" s="7">
        <v>2075</v>
      </c>
      <c r="B177" s="26" t="s">
        <v>492</v>
      </c>
    </row>
    <row r="178" spans="1:2" x14ac:dyDescent="0.25">
      <c r="A178" s="7">
        <v>2100</v>
      </c>
      <c r="B178" s="25" t="s">
        <v>493</v>
      </c>
    </row>
    <row r="179" spans="1:2" x14ac:dyDescent="0.25">
      <c r="A179" s="7">
        <v>2080</v>
      </c>
      <c r="B179" s="26" t="s">
        <v>494</v>
      </c>
    </row>
    <row r="180" spans="1:2" x14ac:dyDescent="0.25">
      <c r="A180" s="7">
        <v>2076</v>
      </c>
      <c r="B180" s="26" t="s">
        <v>495</v>
      </c>
    </row>
    <row r="181" spans="1:2" x14ac:dyDescent="0.25">
      <c r="A181" s="24">
        <v>2105</v>
      </c>
      <c r="B181" s="25" t="s">
        <v>496</v>
      </c>
    </row>
    <row r="182" spans="1:2" x14ac:dyDescent="0.25">
      <c r="A182" s="7">
        <v>2081</v>
      </c>
      <c r="B182" s="26" t="s">
        <v>497</v>
      </c>
    </row>
    <row r="183" spans="1:2" x14ac:dyDescent="0.25">
      <c r="A183" s="7">
        <v>2077</v>
      </c>
      <c r="B183" s="26" t="s">
        <v>498</v>
      </c>
    </row>
    <row r="184" spans="1:2" x14ac:dyDescent="0.25">
      <c r="A184" s="24">
        <v>2074</v>
      </c>
      <c r="B184" s="25" t="s">
        <v>499</v>
      </c>
    </row>
    <row r="185" spans="1:2" x14ac:dyDescent="0.25">
      <c r="A185" s="7">
        <v>2082</v>
      </c>
      <c r="B185" s="26" t="s">
        <v>500</v>
      </c>
    </row>
    <row r="186" spans="1:2" x14ac:dyDescent="0.25">
      <c r="A186" s="7">
        <v>2078</v>
      </c>
      <c r="B186" s="26" t="s">
        <v>501</v>
      </c>
    </row>
    <row r="187" spans="1:2" x14ac:dyDescent="0.25">
      <c r="A187" s="24">
        <v>2110</v>
      </c>
      <c r="B187" s="25" t="s">
        <v>502</v>
      </c>
    </row>
    <row r="188" spans="1:2" x14ac:dyDescent="0.25">
      <c r="A188" s="7">
        <v>2083</v>
      </c>
      <c r="B188" s="26" t="s">
        <v>503</v>
      </c>
    </row>
    <row r="189" spans="1:2" x14ac:dyDescent="0.25">
      <c r="A189" s="7">
        <v>2079</v>
      </c>
      <c r="B189" s="26" t="s">
        <v>504</v>
      </c>
    </row>
    <row r="190" spans="1:2" x14ac:dyDescent="0.25">
      <c r="A190" s="24">
        <v>2115</v>
      </c>
      <c r="B190" s="25" t="s">
        <v>505</v>
      </c>
    </row>
    <row r="191" spans="1:2" x14ac:dyDescent="0.25">
      <c r="A191" s="7">
        <v>2084</v>
      </c>
      <c r="B191" s="26" t="s">
        <v>506</v>
      </c>
    </row>
    <row r="192" spans="1:2" x14ac:dyDescent="0.25">
      <c r="A192" s="7">
        <v>2086</v>
      </c>
      <c r="B192" s="26" t="s">
        <v>507</v>
      </c>
    </row>
    <row r="193" spans="1:2" x14ac:dyDescent="0.25">
      <c r="A193" s="24">
        <v>2120</v>
      </c>
      <c r="B193" s="25" t="s">
        <v>508</v>
      </c>
    </row>
    <row r="194" spans="1:2" x14ac:dyDescent="0.25">
      <c r="A194" s="7">
        <v>2087</v>
      </c>
      <c r="B194" s="26" t="s">
        <v>509</v>
      </c>
    </row>
    <row r="195" spans="1:2" x14ac:dyDescent="0.25">
      <c r="A195" s="7">
        <v>2085</v>
      </c>
      <c r="B195" s="26" t="s">
        <v>510</v>
      </c>
    </row>
    <row r="196" spans="1:2" x14ac:dyDescent="0.25">
      <c r="A196" s="7">
        <v>2090</v>
      </c>
      <c r="B196" s="26" t="s">
        <v>511</v>
      </c>
    </row>
    <row r="197" spans="1:2" x14ac:dyDescent="0.25">
      <c r="A197" s="7">
        <v>2091</v>
      </c>
      <c r="B197" s="26" t="s">
        <v>512</v>
      </c>
    </row>
    <row r="198" spans="1:2" x14ac:dyDescent="0.25">
      <c r="A198" s="7">
        <v>2092</v>
      </c>
      <c r="B198" s="26" t="s">
        <v>513</v>
      </c>
    </row>
    <row r="199" spans="1:2" x14ac:dyDescent="0.25">
      <c r="A199" s="7">
        <v>2093</v>
      </c>
      <c r="B199" s="26" t="s">
        <v>514</v>
      </c>
    </row>
    <row r="200" spans="1:2" x14ac:dyDescent="0.25">
      <c r="A200" s="7">
        <v>2094</v>
      </c>
      <c r="B200" s="26" t="s">
        <v>515</v>
      </c>
    </row>
    <row r="201" spans="1:2" x14ac:dyDescent="0.25">
      <c r="A201" s="7">
        <v>2130</v>
      </c>
      <c r="B201" s="26" t="s">
        <v>516</v>
      </c>
    </row>
    <row r="202" spans="1:2" x14ac:dyDescent="0.25">
      <c r="A202" s="7">
        <v>2135</v>
      </c>
      <c r="B202" s="26" t="s">
        <v>517</v>
      </c>
    </row>
    <row r="203" spans="1:2" x14ac:dyDescent="0.25">
      <c r="A203" s="7">
        <v>2136</v>
      </c>
      <c r="B203" s="26" t="s">
        <v>518</v>
      </c>
    </row>
    <row r="204" spans="1:2" x14ac:dyDescent="0.25">
      <c r="A204" s="7">
        <v>2137</v>
      </c>
      <c r="B204" s="26" t="s">
        <v>519</v>
      </c>
    </row>
    <row r="205" spans="1:2" x14ac:dyDescent="0.25">
      <c r="A205" s="7">
        <f>A202+5</f>
        <v>2140</v>
      </c>
      <c r="B205" s="26" t="s">
        <v>520</v>
      </c>
    </row>
    <row r="206" spans="1:2" x14ac:dyDescent="0.25">
      <c r="A206" s="7">
        <f t="shared" ref="A206:A208" si="0">A205+5</f>
        <v>2145</v>
      </c>
      <c r="B206" s="26" t="s">
        <v>521</v>
      </c>
    </row>
    <row r="207" spans="1:2" x14ac:dyDescent="0.25">
      <c r="A207" s="7">
        <f t="shared" si="0"/>
        <v>2150</v>
      </c>
      <c r="B207" s="26" t="s">
        <v>403</v>
      </c>
    </row>
    <row r="208" spans="1:2" x14ac:dyDescent="0.25">
      <c r="A208" s="28">
        <f t="shared" si="0"/>
        <v>2155</v>
      </c>
      <c r="B208" s="29" t="s">
        <v>522</v>
      </c>
    </row>
    <row r="209" spans="1:2" x14ac:dyDescent="0.25">
      <c r="A209" s="7">
        <v>2200</v>
      </c>
      <c r="B209" s="26" t="s">
        <v>523</v>
      </c>
    </row>
    <row r="210" spans="1:2" x14ac:dyDescent="0.25">
      <c r="A210" s="7">
        <v>2205</v>
      </c>
      <c r="B210" s="26" t="s">
        <v>524</v>
      </c>
    </row>
    <row r="211" spans="1:2" x14ac:dyDescent="0.25">
      <c r="A211" s="7">
        <v>2210</v>
      </c>
      <c r="B211" s="26" t="s">
        <v>525</v>
      </c>
    </row>
    <row r="212" spans="1:2" x14ac:dyDescent="0.25">
      <c r="A212" s="7">
        <v>2215</v>
      </c>
      <c r="B212" s="26" t="s">
        <v>526</v>
      </c>
    </row>
    <row r="213" spans="1:2" x14ac:dyDescent="0.25">
      <c r="A213" s="7">
        <v>2220</v>
      </c>
      <c r="B213" s="26" t="s">
        <v>58</v>
      </c>
    </row>
    <row r="214" spans="1:2" x14ac:dyDescent="0.25">
      <c r="A214" s="7">
        <v>2300</v>
      </c>
      <c r="B214" s="26" t="s">
        <v>527</v>
      </c>
    </row>
    <row r="215" spans="1:2" x14ac:dyDescent="0.25">
      <c r="A215" s="7">
        <v>2305</v>
      </c>
      <c r="B215" s="26" t="s">
        <v>528</v>
      </c>
    </row>
    <row r="216" spans="1:2" x14ac:dyDescent="0.25">
      <c r="A216" s="7">
        <v>2310</v>
      </c>
      <c r="B216" s="26" t="s">
        <v>529</v>
      </c>
    </row>
    <row r="217" spans="1:2" x14ac:dyDescent="0.25">
      <c r="A217" s="24">
        <v>4009</v>
      </c>
      <c r="B217" s="25" t="s">
        <v>530</v>
      </c>
    </row>
    <row r="218" spans="1:2" x14ac:dyDescent="0.25">
      <c r="A218" s="7">
        <v>4010</v>
      </c>
      <c r="B218" s="26" t="s">
        <v>531</v>
      </c>
    </row>
    <row r="219" spans="1:2" x14ac:dyDescent="0.25">
      <c r="A219" s="24">
        <v>4011</v>
      </c>
      <c r="B219" s="25" t="s">
        <v>532</v>
      </c>
    </row>
    <row r="220" spans="1:2" x14ac:dyDescent="0.25">
      <c r="A220" s="24">
        <v>4012</v>
      </c>
      <c r="B220" s="25" t="s">
        <v>533</v>
      </c>
    </row>
    <row r="221" spans="1:2" x14ac:dyDescent="0.25">
      <c r="A221" s="24">
        <v>4013</v>
      </c>
      <c r="B221" s="25" t="s">
        <v>534</v>
      </c>
    </row>
    <row r="222" spans="1:2" x14ac:dyDescent="0.25">
      <c r="A222" s="7">
        <v>4014</v>
      </c>
      <c r="B222" s="26" t="s">
        <v>535</v>
      </c>
    </row>
    <row r="223" spans="1:2" x14ac:dyDescent="0.25">
      <c r="A223" s="7">
        <v>4015</v>
      </c>
      <c r="B223" s="26" t="s">
        <v>536</v>
      </c>
    </row>
    <row r="224" spans="1:2" x14ac:dyDescent="0.25">
      <c r="A224" s="7">
        <v>4020</v>
      </c>
      <c r="B224" s="26" t="s">
        <v>537</v>
      </c>
    </row>
    <row r="225" spans="1:2" x14ac:dyDescent="0.25">
      <c r="A225" s="7">
        <v>4025</v>
      </c>
      <c r="B225" s="26" t="s">
        <v>538</v>
      </c>
    </row>
    <row r="226" spans="1:2" x14ac:dyDescent="0.25">
      <c r="A226" s="7">
        <v>4028</v>
      </c>
      <c r="B226" s="26" t="s">
        <v>539</v>
      </c>
    </row>
    <row r="227" spans="1:2" x14ac:dyDescent="0.25">
      <c r="A227" s="7">
        <v>4029</v>
      </c>
      <c r="B227" s="26" t="s">
        <v>540</v>
      </c>
    </row>
    <row r="228" spans="1:2" x14ac:dyDescent="0.25">
      <c r="A228" s="24">
        <v>4030</v>
      </c>
      <c r="B228" s="25" t="s">
        <v>541</v>
      </c>
    </row>
    <row r="229" spans="1:2" x14ac:dyDescent="0.25">
      <c r="A229" s="7">
        <v>4035</v>
      </c>
      <c r="B229" s="26" t="s">
        <v>542</v>
      </c>
    </row>
    <row r="230" spans="1:2" x14ac:dyDescent="0.25">
      <c r="A230" s="7">
        <v>4040</v>
      </c>
      <c r="B230" s="26" t="s">
        <v>543</v>
      </c>
    </row>
    <row r="231" spans="1:2" x14ac:dyDescent="0.25">
      <c r="A231" s="7">
        <v>4045</v>
      </c>
      <c r="B231" s="26" t="s">
        <v>544</v>
      </c>
    </row>
    <row r="232" spans="1:2" x14ac:dyDescent="0.25">
      <c r="A232" s="24">
        <v>4046</v>
      </c>
      <c r="B232" s="25" t="s">
        <v>545</v>
      </c>
    </row>
    <row r="233" spans="1:2" x14ac:dyDescent="0.25">
      <c r="A233" s="24">
        <v>4047</v>
      </c>
      <c r="B233" s="25" t="s">
        <v>546</v>
      </c>
    </row>
    <row r="234" spans="1:2" x14ac:dyDescent="0.25">
      <c r="A234" s="7">
        <v>4049</v>
      </c>
      <c r="B234" s="30" t="s">
        <v>547</v>
      </c>
    </row>
    <row r="235" spans="1:2" x14ac:dyDescent="0.25">
      <c r="A235" s="7">
        <v>4050</v>
      </c>
      <c r="B235" s="26" t="s">
        <v>548</v>
      </c>
    </row>
    <row r="236" spans="1:2" x14ac:dyDescent="0.25">
      <c r="A236" s="7">
        <v>4051</v>
      </c>
      <c r="B236" s="26" t="s">
        <v>549</v>
      </c>
    </row>
    <row r="237" spans="1:2" x14ac:dyDescent="0.25">
      <c r="A237" s="7">
        <v>4052</v>
      </c>
      <c r="B237" s="26" t="s">
        <v>550</v>
      </c>
    </row>
    <row r="238" spans="1:2" x14ac:dyDescent="0.25">
      <c r="A238" s="7">
        <v>4053</v>
      </c>
      <c r="B238" s="26" t="s">
        <v>551</v>
      </c>
    </row>
    <row r="239" spans="1:2" x14ac:dyDescent="0.25">
      <c r="A239" s="7">
        <v>4055</v>
      </c>
      <c r="B239" s="30" t="s">
        <v>552</v>
      </c>
    </row>
    <row r="240" spans="1:2" x14ac:dyDescent="0.25">
      <c r="A240" s="7">
        <v>4056</v>
      </c>
      <c r="B240" s="30" t="s">
        <v>553</v>
      </c>
    </row>
    <row r="241" spans="1:2" x14ac:dyDescent="0.25">
      <c r="A241" s="7">
        <v>4057</v>
      </c>
      <c r="B241" s="26" t="s">
        <v>554</v>
      </c>
    </row>
    <row r="242" spans="1:2" x14ac:dyDescent="0.25">
      <c r="A242" s="7">
        <v>4058</v>
      </c>
      <c r="B242" s="26" t="s">
        <v>555</v>
      </c>
    </row>
    <row r="243" spans="1:2" x14ac:dyDescent="0.25">
      <c r="A243" s="7">
        <v>4059</v>
      </c>
      <c r="B243" s="26" t="s">
        <v>556</v>
      </c>
    </row>
    <row r="244" spans="1:2" x14ac:dyDescent="0.25">
      <c r="A244" s="7">
        <v>4063</v>
      </c>
      <c r="B244" s="26" t="s">
        <v>557</v>
      </c>
    </row>
    <row r="245" spans="1:2" x14ac:dyDescent="0.25">
      <c r="A245" s="7">
        <v>4060</v>
      </c>
      <c r="B245" s="26" t="s">
        <v>558</v>
      </c>
    </row>
    <row r="246" spans="1:2" x14ac:dyDescent="0.25">
      <c r="A246" s="24">
        <v>4062</v>
      </c>
      <c r="B246" s="25" t="s">
        <v>559</v>
      </c>
    </row>
    <row r="247" spans="1:2" x14ac:dyDescent="0.25">
      <c r="A247" s="7">
        <v>4061</v>
      </c>
      <c r="B247" s="26" t="s">
        <v>560</v>
      </c>
    </row>
    <row r="248" spans="1:2" x14ac:dyDescent="0.25">
      <c r="A248" s="7">
        <v>4064</v>
      </c>
      <c r="B248" s="26" t="s">
        <v>561</v>
      </c>
    </row>
    <row r="249" spans="1:2" x14ac:dyDescent="0.25">
      <c r="A249" s="7">
        <v>4065</v>
      </c>
      <c r="B249" s="26" t="s">
        <v>562</v>
      </c>
    </row>
    <row r="250" spans="1:2" x14ac:dyDescent="0.25">
      <c r="A250" s="24">
        <v>4070</v>
      </c>
      <c r="B250" s="25" t="s">
        <v>563</v>
      </c>
    </row>
    <row r="251" spans="1:2" x14ac:dyDescent="0.25">
      <c r="A251" s="24">
        <v>4075</v>
      </c>
      <c r="B251" s="25" t="s">
        <v>564</v>
      </c>
    </row>
    <row r="252" spans="1:2" x14ac:dyDescent="0.25">
      <c r="A252" s="7">
        <v>4080</v>
      </c>
      <c r="B252" s="30" t="s">
        <v>565</v>
      </c>
    </row>
    <row r="253" spans="1:2" x14ac:dyDescent="0.25">
      <c r="A253" s="24">
        <v>4085</v>
      </c>
      <c r="B253" s="25" t="s">
        <v>566</v>
      </c>
    </row>
    <row r="254" spans="1:2" x14ac:dyDescent="0.25">
      <c r="A254" s="7">
        <v>4090</v>
      </c>
      <c r="B254" s="26" t="s">
        <v>567</v>
      </c>
    </row>
    <row r="255" spans="1:2" x14ac:dyDescent="0.25">
      <c r="A255" s="7">
        <v>4095</v>
      </c>
      <c r="B255" s="26" t="s">
        <v>568</v>
      </c>
    </row>
    <row r="256" spans="1:2" x14ac:dyDescent="0.25">
      <c r="A256" s="7">
        <v>4096</v>
      </c>
      <c r="B256" s="26" t="s">
        <v>569</v>
      </c>
    </row>
    <row r="257" spans="1:2" x14ac:dyDescent="0.25">
      <c r="A257" s="7">
        <v>4098</v>
      </c>
      <c r="B257" s="26" t="s">
        <v>570</v>
      </c>
    </row>
    <row r="258" spans="1:2" x14ac:dyDescent="0.25">
      <c r="A258" s="24">
        <v>4097</v>
      </c>
      <c r="B258" s="25" t="s">
        <v>571</v>
      </c>
    </row>
    <row r="259" spans="1:2" x14ac:dyDescent="0.25">
      <c r="A259" s="24">
        <v>4100</v>
      </c>
      <c r="B259" s="25" t="s">
        <v>572</v>
      </c>
    </row>
    <row r="260" spans="1:2" x14ac:dyDescent="0.25">
      <c r="A260" s="24">
        <v>4105</v>
      </c>
      <c r="B260" s="25" t="s">
        <v>573</v>
      </c>
    </row>
    <row r="261" spans="1:2" x14ac:dyDescent="0.25">
      <c r="A261" s="7">
        <v>4106</v>
      </c>
      <c r="B261" s="26" t="s">
        <v>574</v>
      </c>
    </row>
    <row r="262" spans="1:2" x14ac:dyDescent="0.25">
      <c r="A262" s="24">
        <v>4110</v>
      </c>
      <c r="B262" s="25" t="s">
        <v>575</v>
      </c>
    </row>
    <row r="263" spans="1:2" x14ac:dyDescent="0.25">
      <c r="A263" s="7">
        <v>4115</v>
      </c>
      <c r="B263" s="26" t="s">
        <v>576</v>
      </c>
    </row>
    <row r="264" spans="1:2" x14ac:dyDescent="0.25">
      <c r="A264" s="24">
        <v>4116</v>
      </c>
      <c r="B264" s="25" t="s">
        <v>577</v>
      </c>
    </row>
    <row r="265" spans="1:2" x14ac:dyDescent="0.25">
      <c r="A265" s="7">
        <v>4120</v>
      </c>
      <c r="B265" s="26" t="s">
        <v>578</v>
      </c>
    </row>
    <row r="266" spans="1:2" x14ac:dyDescent="0.25">
      <c r="A266" s="7">
        <v>4121</v>
      </c>
      <c r="B266" s="26" t="s">
        <v>579</v>
      </c>
    </row>
    <row r="267" spans="1:2" x14ac:dyDescent="0.25">
      <c r="A267" s="7">
        <v>4125</v>
      </c>
      <c r="B267" s="26" t="s">
        <v>580</v>
      </c>
    </row>
    <row r="268" spans="1:2" x14ac:dyDescent="0.25">
      <c r="A268" s="7">
        <v>4130</v>
      </c>
      <c r="B268" s="26" t="s">
        <v>581</v>
      </c>
    </row>
    <row r="269" spans="1:2" x14ac:dyDescent="0.25">
      <c r="A269" s="7">
        <v>4131</v>
      </c>
      <c r="B269" s="26" t="s">
        <v>582</v>
      </c>
    </row>
    <row r="270" spans="1:2" x14ac:dyDescent="0.25">
      <c r="A270" s="7">
        <v>4135</v>
      </c>
      <c r="B270" s="26" t="s">
        <v>583</v>
      </c>
    </row>
    <row r="271" spans="1:2" x14ac:dyDescent="0.25">
      <c r="A271" s="7">
        <v>4140</v>
      </c>
      <c r="B271" s="26" t="s">
        <v>584</v>
      </c>
    </row>
    <row r="272" spans="1:2" x14ac:dyDescent="0.25">
      <c r="A272" s="7">
        <v>4145</v>
      </c>
      <c r="B272" s="26" t="s">
        <v>585</v>
      </c>
    </row>
    <row r="273" spans="1:7" x14ac:dyDescent="0.25">
      <c r="A273" s="7">
        <v>4150</v>
      </c>
      <c r="B273" s="26" t="s">
        <v>586</v>
      </c>
    </row>
    <row r="274" spans="1:7" x14ac:dyDescent="0.25">
      <c r="A274" s="7">
        <v>4155</v>
      </c>
      <c r="B274" s="26" t="s">
        <v>587</v>
      </c>
    </row>
    <row r="275" spans="1:7" x14ac:dyDescent="0.25">
      <c r="A275" s="7">
        <v>4160</v>
      </c>
      <c r="B275" s="26" t="s">
        <v>588</v>
      </c>
    </row>
    <row r="276" spans="1:7" x14ac:dyDescent="0.25">
      <c r="A276" s="7">
        <v>4165</v>
      </c>
      <c r="B276" s="26" t="s">
        <v>589</v>
      </c>
    </row>
    <row r="277" spans="1:7" x14ac:dyDescent="0.25">
      <c r="A277" s="24">
        <v>4166</v>
      </c>
      <c r="B277" s="25" t="s">
        <v>560</v>
      </c>
    </row>
    <row r="278" spans="1:7" x14ac:dyDescent="0.25">
      <c r="A278" s="7">
        <v>4170</v>
      </c>
      <c r="B278" s="26" t="s">
        <v>590</v>
      </c>
    </row>
    <row r="279" spans="1:7" x14ac:dyDescent="0.25">
      <c r="A279" s="24">
        <v>4171</v>
      </c>
      <c r="B279" s="25" t="s">
        <v>591</v>
      </c>
    </row>
    <row r="280" spans="1:7" x14ac:dyDescent="0.25">
      <c r="A280" s="24">
        <v>4172</v>
      </c>
      <c r="B280" s="25" t="s">
        <v>592</v>
      </c>
    </row>
    <row r="281" spans="1:7" x14ac:dyDescent="0.25">
      <c r="A281" s="7">
        <v>4175</v>
      </c>
      <c r="B281" s="26" t="s">
        <v>593</v>
      </c>
    </row>
    <row r="282" spans="1:7" x14ac:dyDescent="0.25">
      <c r="A282" s="7">
        <v>4180</v>
      </c>
      <c r="B282" s="30" t="s">
        <v>594</v>
      </c>
      <c r="G282" s="4" t="s">
        <v>595</v>
      </c>
    </row>
    <row r="283" spans="1:7" x14ac:dyDescent="0.25">
      <c r="A283" s="7">
        <v>4181</v>
      </c>
      <c r="B283" s="26" t="s">
        <v>596</v>
      </c>
    </row>
    <row r="284" spans="1:7" x14ac:dyDescent="0.25">
      <c r="A284" s="24">
        <v>4185</v>
      </c>
      <c r="B284" s="25" t="s">
        <v>597</v>
      </c>
    </row>
    <row r="285" spans="1:7" x14ac:dyDescent="0.25">
      <c r="A285" s="24">
        <v>4190</v>
      </c>
      <c r="B285" s="25" t="s">
        <v>598</v>
      </c>
    </row>
    <row r="286" spans="1:7" x14ac:dyDescent="0.25">
      <c r="A286" s="24">
        <v>4195</v>
      </c>
      <c r="B286" s="25" t="s">
        <v>599</v>
      </c>
    </row>
    <row r="287" spans="1:7" x14ac:dyDescent="0.25">
      <c r="A287" s="24">
        <v>4200</v>
      </c>
      <c r="B287" s="25" t="s">
        <v>600</v>
      </c>
    </row>
    <row r="288" spans="1:7" x14ac:dyDescent="0.25">
      <c r="A288" s="24">
        <v>4205</v>
      </c>
      <c r="B288" s="25" t="s">
        <v>601</v>
      </c>
    </row>
    <row r="289" spans="1:2" x14ac:dyDescent="0.25">
      <c r="A289" s="24">
        <v>4210</v>
      </c>
      <c r="B289" s="25" t="s">
        <v>602</v>
      </c>
    </row>
    <row r="290" spans="1:2" x14ac:dyDescent="0.25">
      <c r="A290" s="24">
        <v>4215</v>
      </c>
      <c r="B290" s="25" t="s">
        <v>603</v>
      </c>
    </row>
    <row r="291" spans="1:2" x14ac:dyDescent="0.25">
      <c r="A291" s="24">
        <v>4220</v>
      </c>
      <c r="B291" s="25" t="s">
        <v>604</v>
      </c>
    </row>
    <row r="292" spans="1:2" x14ac:dyDescent="0.25">
      <c r="A292" s="24">
        <v>4225</v>
      </c>
      <c r="B292" s="25" t="s">
        <v>605</v>
      </c>
    </row>
    <row r="293" spans="1:2" x14ac:dyDescent="0.25">
      <c r="A293" s="7">
        <v>4230</v>
      </c>
      <c r="B293" s="26" t="s">
        <v>606</v>
      </c>
    </row>
    <row r="294" spans="1:2" x14ac:dyDescent="0.25">
      <c r="A294" s="7">
        <v>4235</v>
      </c>
      <c r="B294" s="30" t="s">
        <v>607</v>
      </c>
    </row>
    <row r="295" spans="1:2" x14ac:dyDescent="0.25">
      <c r="A295" s="7">
        <v>4236</v>
      </c>
      <c r="B295" s="26" t="s">
        <v>608</v>
      </c>
    </row>
    <row r="296" spans="1:2" x14ac:dyDescent="0.25">
      <c r="A296" s="7">
        <v>4237</v>
      </c>
      <c r="B296" s="26" t="s">
        <v>609</v>
      </c>
    </row>
    <row r="297" spans="1:2" x14ac:dyDescent="0.25">
      <c r="A297" s="7">
        <v>4240</v>
      </c>
      <c r="B297" s="26" t="s">
        <v>610</v>
      </c>
    </row>
    <row r="298" spans="1:2" x14ac:dyDescent="0.25">
      <c r="A298" s="7">
        <v>4245</v>
      </c>
      <c r="B298" s="26" t="s">
        <v>611</v>
      </c>
    </row>
    <row r="299" spans="1:2" x14ac:dyDescent="0.25">
      <c r="A299" s="7">
        <v>4250</v>
      </c>
      <c r="B299" s="26" t="s">
        <v>612</v>
      </c>
    </row>
    <row r="300" spans="1:2" x14ac:dyDescent="0.25">
      <c r="A300" s="7">
        <v>4255</v>
      </c>
      <c r="B300" s="26" t="s">
        <v>613</v>
      </c>
    </row>
    <row r="301" spans="1:2" x14ac:dyDescent="0.25">
      <c r="A301" s="7">
        <v>4260</v>
      </c>
      <c r="B301" s="26" t="s">
        <v>614</v>
      </c>
    </row>
    <row r="302" spans="1:2" x14ac:dyDescent="0.25">
      <c r="A302" s="7">
        <v>4261</v>
      </c>
      <c r="B302" s="26" t="s">
        <v>615</v>
      </c>
    </row>
    <row r="303" spans="1:2" x14ac:dyDescent="0.25">
      <c r="A303" s="7">
        <v>4262</v>
      </c>
      <c r="B303" s="26" t="s">
        <v>616</v>
      </c>
    </row>
    <row r="304" spans="1:2" x14ac:dyDescent="0.25">
      <c r="A304" s="7">
        <v>4263</v>
      </c>
      <c r="B304" s="26" t="s">
        <v>617</v>
      </c>
    </row>
    <row r="305" spans="1:2" x14ac:dyDescent="0.25">
      <c r="A305" s="7">
        <v>4264</v>
      </c>
      <c r="B305" s="26" t="s">
        <v>618</v>
      </c>
    </row>
    <row r="306" spans="1:2" x14ac:dyDescent="0.25">
      <c r="A306" s="7">
        <v>4265</v>
      </c>
      <c r="B306" s="26" t="s">
        <v>619</v>
      </c>
    </row>
    <row r="307" spans="1:2" x14ac:dyDescent="0.25">
      <c r="A307" s="7">
        <v>4266</v>
      </c>
      <c r="B307" s="26" t="s">
        <v>620</v>
      </c>
    </row>
    <row r="308" spans="1:2" x14ac:dyDescent="0.25">
      <c r="A308" s="7">
        <v>4267</v>
      </c>
      <c r="B308" s="26" t="s">
        <v>621</v>
      </c>
    </row>
    <row r="309" spans="1:2" x14ac:dyDescent="0.25">
      <c r="A309" s="7">
        <v>4268</v>
      </c>
      <c r="B309" s="26" t="s">
        <v>622</v>
      </c>
    </row>
    <row r="310" spans="1:2" x14ac:dyDescent="0.25">
      <c r="A310" s="7">
        <v>4269</v>
      </c>
      <c r="B310" s="26" t="s">
        <v>623</v>
      </c>
    </row>
    <row r="311" spans="1:2" x14ac:dyDescent="0.25">
      <c r="A311" s="7">
        <v>4270</v>
      </c>
      <c r="B311" s="26" t="s">
        <v>624</v>
      </c>
    </row>
    <row r="312" spans="1:2" x14ac:dyDescent="0.25">
      <c r="A312" s="7">
        <v>4271</v>
      </c>
      <c r="B312" s="26" t="s">
        <v>625</v>
      </c>
    </row>
    <row r="313" spans="1:2" x14ac:dyDescent="0.25">
      <c r="A313" s="7">
        <v>4272</v>
      </c>
      <c r="B313" s="26" t="s">
        <v>626</v>
      </c>
    </row>
    <row r="314" spans="1:2" x14ac:dyDescent="0.25">
      <c r="A314" s="36">
        <v>4273</v>
      </c>
      <c r="B314" s="37" t="s">
        <v>627</v>
      </c>
    </row>
    <row r="315" spans="1:2" x14ac:dyDescent="0.25">
      <c r="A315" s="7">
        <v>4275</v>
      </c>
      <c r="B315" s="26" t="s">
        <v>628</v>
      </c>
    </row>
    <row r="316" spans="1:2" x14ac:dyDescent="0.25">
      <c r="A316" s="7">
        <v>4280</v>
      </c>
      <c r="B316" s="26" t="s">
        <v>629</v>
      </c>
    </row>
    <row r="317" spans="1:2" x14ac:dyDescent="0.25">
      <c r="A317" s="7">
        <v>4285</v>
      </c>
      <c r="B317" s="26" t="s">
        <v>630</v>
      </c>
    </row>
    <row r="318" spans="1:2" x14ac:dyDescent="0.25">
      <c r="A318" s="7">
        <v>4290</v>
      </c>
      <c r="B318" s="26" t="s">
        <v>631</v>
      </c>
    </row>
    <row r="319" spans="1:2" x14ac:dyDescent="0.25">
      <c r="A319" s="7">
        <v>4295</v>
      </c>
      <c r="B319" s="26" t="s">
        <v>632</v>
      </c>
    </row>
    <row r="320" spans="1:2" x14ac:dyDescent="0.25">
      <c r="A320" s="7">
        <v>4296</v>
      </c>
      <c r="B320" s="26" t="s">
        <v>220</v>
      </c>
    </row>
    <row r="321" spans="1:2" x14ac:dyDescent="0.25">
      <c r="A321" s="7">
        <v>4297</v>
      </c>
      <c r="B321" s="26" t="s">
        <v>223</v>
      </c>
    </row>
    <row r="322" spans="1:2" x14ac:dyDescent="0.25">
      <c r="A322" s="7">
        <v>4298</v>
      </c>
      <c r="B322" s="26" t="s">
        <v>633</v>
      </c>
    </row>
    <row r="323" spans="1:2" x14ac:dyDescent="0.25">
      <c r="A323" s="7">
        <v>4300</v>
      </c>
      <c r="B323" s="30" t="s">
        <v>634</v>
      </c>
    </row>
    <row r="324" spans="1:2" x14ac:dyDescent="0.25">
      <c r="A324" s="7">
        <v>4301</v>
      </c>
      <c r="B324" s="30" t="s">
        <v>635</v>
      </c>
    </row>
    <row r="325" spans="1:2" x14ac:dyDescent="0.25">
      <c r="A325" s="7">
        <v>4302</v>
      </c>
      <c r="B325" s="30" t="s">
        <v>636</v>
      </c>
    </row>
    <row r="326" spans="1:2" x14ac:dyDescent="0.25">
      <c r="A326" s="7">
        <v>4303</v>
      </c>
      <c r="B326" s="26" t="s">
        <v>637</v>
      </c>
    </row>
    <row r="327" spans="1:2" x14ac:dyDescent="0.25">
      <c r="A327" s="7">
        <v>4304</v>
      </c>
      <c r="B327" s="26" t="s">
        <v>638</v>
      </c>
    </row>
    <row r="328" spans="1:2" x14ac:dyDescent="0.25">
      <c r="A328" s="7">
        <v>4307</v>
      </c>
      <c r="B328" s="26" t="s">
        <v>639</v>
      </c>
    </row>
    <row r="329" spans="1:2" x14ac:dyDescent="0.25">
      <c r="A329" s="7">
        <v>4308</v>
      </c>
      <c r="B329" s="26" t="s">
        <v>640</v>
      </c>
    </row>
    <row r="330" spans="1:2" x14ac:dyDescent="0.25">
      <c r="A330" s="7">
        <v>4309</v>
      </c>
      <c r="B330" s="26" t="s">
        <v>641</v>
      </c>
    </row>
    <row r="331" spans="1:2" x14ac:dyDescent="0.25">
      <c r="A331" s="7">
        <v>4305</v>
      </c>
      <c r="B331" s="26" t="s">
        <v>642</v>
      </c>
    </row>
    <row r="332" spans="1:2" x14ac:dyDescent="0.25">
      <c r="A332" s="7">
        <v>4306</v>
      </c>
      <c r="B332" s="26" t="s">
        <v>643</v>
      </c>
    </row>
    <row r="333" spans="1:2" x14ac:dyDescent="0.25">
      <c r="A333" s="7">
        <v>4310</v>
      </c>
      <c r="B333" s="26" t="s">
        <v>644</v>
      </c>
    </row>
    <row r="334" spans="1:2" x14ac:dyDescent="0.25">
      <c r="A334" s="7">
        <v>4315</v>
      </c>
      <c r="B334" s="26" t="s">
        <v>645</v>
      </c>
    </row>
    <row r="335" spans="1:2" x14ac:dyDescent="0.25">
      <c r="A335" s="7">
        <v>4320</v>
      </c>
      <c r="B335" s="26" t="s">
        <v>646</v>
      </c>
    </row>
    <row r="336" spans="1:2" x14ac:dyDescent="0.25">
      <c r="A336" s="7">
        <v>4325</v>
      </c>
      <c r="B336" s="26" t="s">
        <v>647</v>
      </c>
    </row>
    <row r="337" spans="1:2" x14ac:dyDescent="0.25">
      <c r="A337" s="7">
        <v>4330</v>
      </c>
      <c r="B337" s="26" t="s">
        <v>648</v>
      </c>
    </row>
    <row r="338" spans="1:2" x14ac:dyDescent="0.25">
      <c r="A338" s="7">
        <v>4335</v>
      </c>
      <c r="B338" s="26" t="s">
        <v>649</v>
      </c>
    </row>
    <row r="339" spans="1:2" x14ac:dyDescent="0.25">
      <c r="A339" s="7">
        <v>4340</v>
      </c>
      <c r="B339" s="26" t="s">
        <v>650</v>
      </c>
    </row>
    <row r="340" spans="1:2" x14ac:dyDescent="0.25">
      <c r="A340" s="7">
        <v>4345</v>
      </c>
      <c r="B340" s="26" t="s">
        <v>651</v>
      </c>
    </row>
    <row r="341" spans="1:2" x14ac:dyDescent="0.25">
      <c r="A341" s="7">
        <v>4350</v>
      </c>
      <c r="B341" s="26" t="s">
        <v>652</v>
      </c>
    </row>
    <row r="342" spans="1:2" x14ac:dyDescent="0.25">
      <c r="A342" s="7">
        <v>4355</v>
      </c>
      <c r="B342" s="26" t="s">
        <v>653</v>
      </c>
    </row>
    <row r="343" spans="1:2" x14ac:dyDescent="0.25">
      <c r="A343" s="24">
        <v>4356</v>
      </c>
      <c r="B343" s="25" t="s">
        <v>654</v>
      </c>
    </row>
    <row r="344" spans="1:2" x14ac:dyDescent="0.25">
      <c r="A344" s="24">
        <v>4357</v>
      </c>
      <c r="B344" s="25" t="s">
        <v>655</v>
      </c>
    </row>
    <row r="345" spans="1:2" x14ac:dyDescent="0.25">
      <c r="A345" s="7">
        <v>4360</v>
      </c>
      <c r="B345" s="26" t="s">
        <v>656</v>
      </c>
    </row>
    <row r="346" spans="1:2" x14ac:dyDescent="0.25">
      <c r="A346" s="24">
        <v>4365</v>
      </c>
      <c r="B346" s="25" t="s">
        <v>657</v>
      </c>
    </row>
    <row r="347" spans="1:2" x14ac:dyDescent="0.25">
      <c r="A347" s="7">
        <f t="shared" ref="A347:A362" si="1">A346+5</f>
        <v>4370</v>
      </c>
      <c r="B347" s="26" t="s">
        <v>658</v>
      </c>
    </row>
    <row r="348" spans="1:2" x14ac:dyDescent="0.25">
      <c r="A348" s="24">
        <f t="shared" si="1"/>
        <v>4375</v>
      </c>
      <c r="B348" s="25" t="s">
        <v>659</v>
      </c>
    </row>
    <row r="349" spans="1:2" x14ac:dyDescent="0.25">
      <c r="A349" s="24">
        <f t="shared" si="1"/>
        <v>4380</v>
      </c>
      <c r="B349" s="25" t="s">
        <v>660</v>
      </c>
    </row>
    <row r="350" spans="1:2" x14ac:dyDescent="0.25">
      <c r="A350" s="7">
        <f t="shared" si="1"/>
        <v>4385</v>
      </c>
      <c r="B350" s="26" t="s">
        <v>661</v>
      </c>
    </row>
    <row r="351" spans="1:2" x14ac:dyDescent="0.25">
      <c r="A351" s="7">
        <f t="shared" si="1"/>
        <v>4390</v>
      </c>
      <c r="B351" s="26" t="s">
        <v>662</v>
      </c>
    </row>
    <row r="352" spans="1:2" x14ac:dyDescent="0.25">
      <c r="A352" s="7">
        <f t="shared" si="1"/>
        <v>4395</v>
      </c>
      <c r="B352" s="26" t="s">
        <v>663</v>
      </c>
    </row>
    <row r="353" spans="1:2" x14ac:dyDescent="0.25">
      <c r="A353" s="7">
        <f t="shared" si="1"/>
        <v>4400</v>
      </c>
      <c r="B353" s="26" t="s">
        <v>664</v>
      </c>
    </row>
    <row r="354" spans="1:2" x14ac:dyDescent="0.25">
      <c r="A354" s="7">
        <f t="shared" si="1"/>
        <v>4405</v>
      </c>
      <c r="B354" s="26" t="s">
        <v>665</v>
      </c>
    </row>
    <row r="355" spans="1:2" x14ac:dyDescent="0.25">
      <c r="A355" s="7">
        <f t="shared" si="1"/>
        <v>4410</v>
      </c>
      <c r="B355" s="26" t="s">
        <v>666</v>
      </c>
    </row>
    <row r="356" spans="1:2" x14ac:dyDescent="0.25">
      <c r="A356" s="7">
        <f t="shared" si="1"/>
        <v>4415</v>
      </c>
      <c r="B356" s="26" t="s">
        <v>667</v>
      </c>
    </row>
    <row r="357" spans="1:2" x14ac:dyDescent="0.25">
      <c r="A357" s="7">
        <f t="shared" si="1"/>
        <v>4420</v>
      </c>
      <c r="B357" s="26" t="s">
        <v>668</v>
      </c>
    </row>
    <row r="358" spans="1:2" x14ac:dyDescent="0.25">
      <c r="A358" s="7">
        <f t="shared" si="1"/>
        <v>4425</v>
      </c>
      <c r="B358" s="26" t="s">
        <v>669</v>
      </c>
    </row>
    <row r="359" spans="1:2" x14ac:dyDescent="0.25">
      <c r="A359" s="7">
        <f t="shared" si="1"/>
        <v>4430</v>
      </c>
      <c r="B359" s="26" t="s">
        <v>670</v>
      </c>
    </row>
    <row r="360" spans="1:2" x14ac:dyDescent="0.25">
      <c r="A360" s="7">
        <f t="shared" si="1"/>
        <v>4435</v>
      </c>
      <c r="B360" s="26" t="s">
        <v>671</v>
      </c>
    </row>
    <row r="361" spans="1:2" x14ac:dyDescent="0.25">
      <c r="A361" s="7">
        <f t="shared" si="1"/>
        <v>4440</v>
      </c>
      <c r="B361" s="26" t="s">
        <v>672</v>
      </c>
    </row>
    <row r="362" spans="1:2" x14ac:dyDescent="0.25">
      <c r="A362" s="7">
        <f t="shared" si="1"/>
        <v>4445</v>
      </c>
      <c r="B362" s="26" t="s">
        <v>673</v>
      </c>
    </row>
    <row r="363" spans="1:2" x14ac:dyDescent="0.25">
      <c r="A363" s="7">
        <v>4500</v>
      </c>
      <c r="B363" s="26" t="s">
        <v>674</v>
      </c>
    </row>
    <row r="364" spans="1:2" x14ac:dyDescent="0.25">
      <c r="A364" s="7">
        <v>4505</v>
      </c>
      <c r="B364" s="26" t="s">
        <v>675</v>
      </c>
    </row>
    <row r="365" spans="1:2" x14ac:dyDescent="0.25">
      <c r="A365" s="7">
        <v>4510</v>
      </c>
      <c r="B365" s="26" t="s">
        <v>676</v>
      </c>
    </row>
    <row r="366" spans="1:2" x14ac:dyDescent="0.25">
      <c r="A366" s="7">
        <v>4515</v>
      </c>
      <c r="B366" s="26" t="s">
        <v>677</v>
      </c>
    </row>
    <row r="367" spans="1:2" x14ac:dyDescent="0.25">
      <c r="A367" s="7">
        <v>4600</v>
      </c>
      <c r="B367" s="26" t="s">
        <v>678</v>
      </c>
    </row>
    <row r="368" spans="1:2" x14ac:dyDescent="0.25">
      <c r="A368" s="7">
        <v>4601</v>
      </c>
      <c r="B368" s="26" t="s">
        <v>679</v>
      </c>
    </row>
    <row r="369" spans="1:2" x14ac:dyDescent="0.25">
      <c r="A369" s="7">
        <v>4602</v>
      </c>
      <c r="B369" s="26" t="s">
        <v>680</v>
      </c>
    </row>
    <row r="370" spans="1:2" x14ac:dyDescent="0.25">
      <c r="A370" s="7">
        <v>4605</v>
      </c>
      <c r="B370" s="26" t="s">
        <v>681</v>
      </c>
    </row>
    <row r="371" spans="1:2" x14ac:dyDescent="0.25">
      <c r="A371" s="7">
        <v>4606</v>
      </c>
      <c r="B371" s="26" t="s">
        <v>682</v>
      </c>
    </row>
    <row r="372" spans="1:2" x14ac:dyDescent="0.25">
      <c r="A372" s="7">
        <v>4610</v>
      </c>
      <c r="B372" s="26" t="s">
        <v>683</v>
      </c>
    </row>
    <row r="373" spans="1:2" x14ac:dyDescent="0.25">
      <c r="A373" s="7">
        <v>4611</v>
      </c>
      <c r="B373" s="26" t="s">
        <v>684</v>
      </c>
    </row>
    <row r="374" spans="1:2" x14ac:dyDescent="0.25">
      <c r="A374" s="7">
        <v>4615</v>
      </c>
      <c r="B374" s="26" t="s">
        <v>685</v>
      </c>
    </row>
    <row r="375" spans="1:2" x14ac:dyDescent="0.25">
      <c r="A375" s="7">
        <v>4616</v>
      </c>
      <c r="B375" s="26" t="s">
        <v>686</v>
      </c>
    </row>
    <row r="376" spans="1:2" x14ac:dyDescent="0.25">
      <c r="A376" s="7">
        <v>4620</v>
      </c>
      <c r="B376" s="26" t="s">
        <v>687</v>
      </c>
    </row>
    <row r="377" spans="1:2" x14ac:dyDescent="0.25">
      <c r="A377" s="7">
        <v>4621</v>
      </c>
      <c r="B377" s="26" t="s">
        <v>688</v>
      </c>
    </row>
    <row r="378" spans="1:2" x14ac:dyDescent="0.25">
      <c r="A378" s="7">
        <v>4624</v>
      </c>
      <c r="B378" s="26" t="s">
        <v>689</v>
      </c>
    </row>
    <row r="379" spans="1:2" x14ac:dyDescent="0.25">
      <c r="A379" s="7">
        <f>A376+5</f>
        <v>4625</v>
      </c>
      <c r="B379" s="26" t="s">
        <v>690</v>
      </c>
    </row>
    <row r="380" spans="1:2" x14ac:dyDescent="0.25">
      <c r="A380" s="7">
        <v>4626</v>
      </c>
      <c r="B380" s="26" t="s">
        <v>79</v>
      </c>
    </row>
    <row r="381" spans="1:2" x14ac:dyDescent="0.25">
      <c r="A381" s="7">
        <f>A379+5</f>
        <v>4630</v>
      </c>
      <c r="B381" s="26" t="s">
        <v>691</v>
      </c>
    </row>
    <row r="382" spans="1:2" x14ac:dyDescent="0.25">
      <c r="A382" s="7">
        <f>A380+5</f>
        <v>4631</v>
      </c>
      <c r="B382" s="26" t="s">
        <v>692</v>
      </c>
    </row>
    <row r="383" spans="1:2" x14ac:dyDescent="0.25">
      <c r="A383" s="7">
        <v>4635</v>
      </c>
      <c r="B383" s="26" t="s">
        <v>693</v>
      </c>
    </row>
    <row r="384" spans="1:2" x14ac:dyDescent="0.25">
      <c r="A384" s="7">
        <v>4636</v>
      </c>
      <c r="B384" s="26" t="s">
        <v>694</v>
      </c>
    </row>
    <row r="385" spans="1:2" x14ac:dyDescent="0.25">
      <c r="A385" s="7">
        <v>4640</v>
      </c>
      <c r="B385" s="26" t="s">
        <v>695</v>
      </c>
    </row>
    <row r="386" spans="1:2" x14ac:dyDescent="0.25">
      <c r="A386" s="7">
        <v>4645</v>
      </c>
      <c r="B386" s="26" t="s">
        <v>696</v>
      </c>
    </row>
    <row r="387" spans="1:2" x14ac:dyDescent="0.25">
      <c r="A387" s="24">
        <v>5010</v>
      </c>
      <c r="B387" s="25" t="s">
        <v>697</v>
      </c>
    </row>
    <row r="388" spans="1:2" x14ac:dyDescent="0.25">
      <c r="A388" s="24">
        <v>5020</v>
      </c>
      <c r="B388" s="25" t="s">
        <v>698</v>
      </c>
    </row>
    <row r="389" spans="1:2" x14ac:dyDescent="0.25">
      <c r="A389" s="7">
        <v>5025</v>
      </c>
      <c r="B389" s="26" t="s">
        <v>699</v>
      </c>
    </row>
    <row r="390" spans="1:2" x14ac:dyDescent="0.25">
      <c r="A390" s="7">
        <v>5030</v>
      </c>
      <c r="B390" s="26" t="s">
        <v>700</v>
      </c>
    </row>
    <row r="391" spans="1:2" x14ac:dyDescent="0.25">
      <c r="A391" s="7">
        <v>5035</v>
      </c>
      <c r="B391" s="26" t="s">
        <v>701</v>
      </c>
    </row>
    <row r="392" spans="1:2" x14ac:dyDescent="0.25">
      <c r="A392" s="7">
        <v>5040</v>
      </c>
      <c r="B392" s="26" t="s">
        <v>702</v>
      </c>
    </row>
    <row r="393" spans="1:2" x14ac:dyDescent="0.25">
      <c r="A393" s="7">
        <v>5045</v>
      </c>
      <c r="B393" s="26" t="s">
        <v>703</v>
      </c>
    </row>
    <row r="394" spans="1:2" x14ac:dyDescent="0.25">
      <c r="A394" s="7">
        <v>5050</v>
      </c>
      <c r="B394" s="26" t="s">
        <v>704</v>
      </c>
    </row>
    <row r="395" spans="1:2" x14ac:dyDescent="0.25">
      <c r="A395" s="7">
        <v>5055</v>
      </c>
      <c r="B395" s="26" t="s">
        <v>705</v>
      </c>
    </row>
    <row r="396" spans="1:2" x14ac:dyDescent="0.25">
      <c r="A396" s="7">
        <v>5060</v>
      </c>
      <c r="B396" s="26" t="s">
        <v>706</v>
      </c>
    </row>
    <row r="397" spans="1:2" x14ac:dyDescent="0.25">
      <c r="A397" s="7">
        <v>5065</v>
      </c>
      <c r="B397" s="26" t="s">
        <v>707</v>
      </c>
    </row>
    <row r="398" spans="1:2" x14ac:dyDescent="0.25">
      <c r="A398" s="7">
        <v>5070</v>
      </c>
      <c r="B398" s="26" t="s">
        <v>708</v>
      </c>
    </row>
    <row r="399" spans="1:2" x14ac:dyDescent="0.25">
      <c r="A399" s="7">
        <v>5075</v>
      </c>
      <c r="B399" s="26" t="s">
        <v>709</v>
      </c>
    </row>
    <row r="400" spans="1:2" x14ac:dyDescent="0.25">
      <c r="A400" s="7">
        <v>5080</v>
      </c>
      <c r="B400" s="26" t="s">
        <v>710</v>
      </c>
    </row>
    <row r="401" spans="1:2" x14ac:dyDescent="0.25">
      <c r="A401" s="24">
        <v>5095</v>
      </c>
      <c r="B401" s="25" t="s">
        <v>711</v>
      </c>
    </row>
    <row r="402" spans="1:2" x14ac:dyDescent="0.25">
      <c r="A402" s="24">
        <v>5100</v>
      </c>
      <c r="B402" s="25" t="s">
        <v>712</v>
      </c>
    </row>
    <row r="403" spans="1:2" x14ac:dyDescent="0.25">
      <c r="A403" s="24">
        <v>5105</v>
      </c>
      <c r="B403" s="25" t="s">
        <v>713</v>
      </c>
    </row>
    <row r="404" spans="1:2" x14ac:dyDescent="0.25">
      <c r="A404" s="24">
        <v>5110</v>
      </c>
      <c r="B404" s="25" t="s">
        <v>714</v>
      </c>
    </row>
    <row r="405" spans="1:2" x14ac:dyDescent="0.25">
      <c r="A405" s="38">
        <v>5115</v>
      </c>
      <c r="B405" s="38" t="s">
        <v>715</v>
      </c>
    </row>
    <row r="406" spans="1:2" x14ac:dyDescent="0.25">
      <c r="A406" s="38">
        <v>5120</v>
      </c>
      <c r="B406" s="38" t="s">
        <v>716</v>
      </c>
    </row>
    <row r="407" spans="1:2" x14ac:dyDescent="0.25">
      <c r="A407" s="38">
        <v>5125</v>
      </c>
      <c r="B407" s="38" t="s">
        <v>717</v>
      </c>
    </row>
    <row r="408" spans="1:2" x14ac:dyDescent="0.25">
      <c r="A408" s="38">
        <v>5130</v>
      </c>
      <c r="B408" s="38" t="s">
        <v>718</v>
      </c>
    </row>
    <row r="409" spans="1:2" x14ac:dyDescent="0.25">
      <c r="A409" s="38">
        <v>5135</v>
      </c>
      <c r="B409" s="38" t="s">
        <v>719</v>
      </c>
    </row>
    <row r="410" spans="1:2" x14ac:dyDescent="0.25">
      <c r="A410" s="7">
        <v>5140</v>
      </c>
      <c r="B410" s="7" t="s">
        <v>720</v>
      </c>
    </row>
    <row r="411" spans="1:2" x14ac:dyDescent="0.25">
      <c r="A411" s="24">
        <v>5145</v>
      </c>
      <c r="B411" s="25" t="s">
        <v>721</v>
      </c>
    </row>
    <row r="412" spans="1:2" x14ac:dyDescent="0.25">
      <c r="A412" s="24">
        <v>5150</v>
      </c>
      <c r="B412" s="25" t="s">
        <v>722</v>
      </c>
    </row>
    <row r="413" spans="1:2" x14ac:dyDescent="0.25">
      <c r="A413" s="24">
        <v>5155</v>
      </c>
      <c r="B413" s="25" t="s">
        <v>723</v>
      </c>
    </row>
    <row r="414" spans="1:2" x14ac:dyDescent="0.25">
      <c r="A414" s="24">
        <v>5160</v>
      </c>
      <c r="B414" s="25" t="s">
        <v>724</v>
      </c>
    </row>
    <row r="415" spans="1:2" x14ac:dyDescent="0.25">
      <c r="A415" s="24">
        <v>5165</v>
      </c>
      <c r="B415" s="25" t="s">
        <v>725</v>
      </c>
    </row>
    <row r="416" spans="1:2" x14ac:dyDescent="0.25">
      <c r="A416" s="7">
        <v>5170</v>
      </c>
      <c r="B416" s="26" t="s">
        <v>102</v>
      </c>
    </row>
    <row r="417" spans="1:2" x14ac:dyDescent="0.25">
      <c r="A417" s="7">
        <v>5175</v>
      </c>
      <c r="B417" s="26" t="s">
        <v>726</v>
      </c>
    </row>
    <row r="418" spans="1:2" x14ac:dyDescent="0.25">
      <c r="A418" s="7">
        <v>5180</v>
      </c>
      <c r="B418" s="26" t="s">
        <v>727</v>
      </c>
    </row>
    <row r="419" spans="1:2" x14ac:dyDescent="0.25">
      <c r="A419" s="7">
        <v>5185</v>
      </c>
      <c r="B419" s="26" t="s">
        <v>728</v>
      </c>
    </row>
    <row r="420" spans="1:2" x14ac:dyDescent="0.25">
      <c r="A420" s="7">
        <v>5190</v>
      </c>
      <c r="B420" s="26" t="s">
        <v>729</v>
      </c>
    </row>
    <row r="421" spans="1:2" x14ac:dyDescent="0.25">
      <c r="A421" s="7">
        <v>5195</v>
      </c>
      <c r="B421" s="26" t="s">
        <v>730</v>
      </c>
    </row>
    <row r="422" spans="1:2" x14ac:dyDescent="0.25">
      <c r="A422" s="7">
        <v>5200</v>
      </c>
      <c r="B422" s="26" t="s">
        <v>731</v>
      </c>
    </row>
    <row r="423" spans="1:2" x14ac:dyDescent="0.25">
      <c r="A423" s="7">
        <v>5205</v>
      </c>
      <c r="B423" s="26" t="s">
        <v>76</v>
      </c>
    </row>
    <row r="424" spans="1:2" x14ac:dyDescent="0.25">
      <c r="A424" s="7">
        <v>5210</v>
      </c>
      <c r="B424" s="26" t="s">
        <v>732</v>
      </c>
    </row>
    <row r="425" spans="1:2" x14ac:dyDescent="0.25">
      <c r="A425" s="7">
        <v>5215</v>
      </c>
      <c r="B425" s="23" t="s">
        <v>733</v>
      </c>
    </row>
    <row r="426" spans="1:2" x14ac:dyDescent="0.25">
      <c r="A426" s="7">
        <v>5220</v>
      </c>
      <c r="B426" s="23" t="s">
        <v>734</v>
      </c>
    </row>
    <row r="427" spans="1:2" x14ac:dyDescent="0.25">
      <c r="A427" s="7">
        <v>5225</v>
      </c>
      <c r="B427" s="23" t="s">
        <v>735</v>
      </c>
    </row>
    <row r="428" spans="1:2" x14ac:dyDescent="0.25">
      <c r="A428" s="7">
        <v>5230</v>
      </c>
      <c r="B428" s="23" t="s">
        <v>736</v>
      </c>
    </row>
    <row r="429" spans="1:2" x14ac:dyDescent="0.25">
      <c r="A429" s="7">
        <v>5235</v>
      </c>
      <c r="B429" s="26" t="s">
        <v>737</v>
      </c>
    </row>
    <row r="430" spans="1:2" x14ac:dyDescent="0.25">
      <c r="A430" s="7">
        <v>5300</v>
      </c>
      <c r="B430" s="26" t="s">
        <v>738</v>
      </c>
    </row>
    <row r="431" spans="1:2" x14ac:dyDescent="0.25">
      <c r="A431" s="7">
        <v>5305</v>
      </c>
      <c r="B431" s="26" t="s">
        <v>739</v>
      </c>
    </row>
    <row r="432" spans="1:2" x14ac:dyDescent="0.25">
      <c r="A432" s="7">
        <v>5310</v>
      </c>
      <c r="B432" s="26" t="s">
        <v>740</v>
      </c>
    </row>
    <row r="433" spans="1:2" x14ac:dyDescent="0.25">
      <c r="A433" s="7">
        <v>5315</v>
      </c>
      <c r="B433" s="26" t="s">
        <v>741</v>
      </c>
    </row>
    <row r="434" spans="1:2" x14ac:dyDescent="0.25">
      <c r="A434" s="7">
        <v>5320</v>
      </c>
      <c r="B434" s="26" t="s">
        <v>742</v>
      </c>
    </row>
    <row r="435" spans="1:2" x14ac:dyDescent="0.25">
      <c r="A435" s="7">
        <v>5325</v>
      </c>
      <c r="B435" s="26" t="s">
        <v>743</v>
      </c>
    </row>
    <row r="436" spans="1:2" x14ac:dyDescent="0.25">
      <c r="A436" s="7">
        <v>5330</v>
      </c>
      <c r="B436" s="26" t="s">
        <v>744</v>
      </c>
    </row>
    <row r="437" spans="1:2" x14ac:dyDescent="0.25">
      <c r="A437" s="7">
        <v>5335</v>
      </c>
      <c r="B437" s="26" t="s">
        <v>745</v>
      </c>
    </row>
    <row r="438" spans="1:2" x14ac:dyDescent="0.25">
      <c r="A438" s="7">
        <v>5340</v>
      </c>
      <c r="B438" s="26" t="s">
        <v>746</v>
      </c>
    </row>
    <row r="439" spans="1:2" x14ac:dyDescent="0.25">
      <c r="A439" s="7">
        <v>5345</v>
      </c>
      <c r="B439" s="26" t="s">
        <v>747</v>
      </c>
    </row>
    <row r="440" spans="1:2" x14ac:dyDescent="0.25">
      <c r="A440" s="7">
        <v>5350</v>
      </c>
      <c r="B440" s="26" t="s">
        <v>748</v>
      </c>
    </row>
    <row r="441" spans="1:2" x14ac:dyDescent="0.25">
      <c r="A441" s="7">
        <v>5355</v>
      </c>
      <c r="B441" s="26" t="s">
        <v>749</v>
      </c>
    </row>
    <row r="442" spans="1:2" x14ac:dyDescent="0.25">
      <c r="A442" s="7">
        <v>5360</v>
      </c>
      <c r="B442" s="26" t="s">
        <v>750</v>
      </c>
    </row>
    <row r="443" spans="1:2" x14ac:dyDescent="0.25">
      <c r="A443" s="7">
        <v>5361</v>
      </c>
      <c r="B443" s="26" t="s">
        <v>751</v>
      </c>
    </row>
    <row r="444" spans="1:2" x14ac:dyDescent="0.25">
      <c r="A444" s="7">
        <v>5365</v>
      </c>
      <c r="B444" s="26" t="s">
        <v>752</v>
      </c>
    </row>
    <row r="445" spans="1:2" x14ac:dyDescent="0.25">
      <c r="A445" s="7">
        <v>5370</v>
      </c>
      <c r="B445" s="26" t="s">
        <v>753</v>
      </c>
    </row>
    <row r="446" spans="1:2" x14ac:dyDescent="0.25">
      <c r="A446" s="7">
        <v>5375</v>
      </c>
      <c r="B446" s="26" t="s">
        <v>754</v>
      </c>
    </row>
    <row r="447" spans="1:2" x14ac:dyDescent="0.25">
      <c r="A447" s="7">
        <v>5380</v>
      </c>
      <c r="B447" s="26" t="s">
        <v>755</v>
      </c>
    </row>
    <row r="448" spans="1:2" x14ac:dyDescent="0.25">
      <c r="A448" s="7">
        <v>5385</v>
      </c>
      <c r="B448" s="26" t="s">
        <v>756</v>
      </c>
    </row>
    <row r="449" spans="1:2" x14ac:dyDescent="0.25">
      <c r="A449" s="7">
        <v>5390</v>
      </c>
      <c r="B449" s="26" t="s">
        <v>757</v>
      </c>
    </row>
    <row r="450" spans="1:2" x14ac:dyDescent="0.25">
      <c r="A450" s="7">
        <v>5391</v>
      </c>
      <c r="B450" s="26" t="s">
        <v>758</v>
      </c>
    </row>
    <row r="451" spans="1:2" x14ac:dyDescent="0.25">
      <c r="A451" s="7">
        <v>5392</v>
      </c>
      <c r="B451" s="26" t="s">
        <v>759</v>
      </c>
    </row>
    <row r="452" spans="1:2" x14ac:dyDescent="0.25">
      <c r="A452" s="7">
        <v>5400</v>
      </c>
      <c r="B452" s="26" t="s">
        <v>760</v>
      </c>
    </row>
    <row r="453" spans="1:2" x14ac:dyDescent="0.25">
      <c r="A453" s="7">
        <v>5410</v>
      </c>
      <c r="B453" s="26" t="s">
        <v>761</v>
      </c>
    </row>
    <row r="454" spans="1:2" x14ac:dyDescent="0.25">
      <c r="A454" s="7">
        <v>5500</v>
      </c>
      <c r="B454" s="26" t="s">
        <v>762</v>
      </c>
    </row>
    <row r="455" spans="1:2" x14ac:dyDescent="0.25">
      <c r="A455" s="7">
        <v>5505</v>
      </c>
      <c r="B455" s="26" t="s">
        <v>763</v>
      </c>
    </row>
    <row r="456" spans="1:2" x14ac:dyDescent="0.25">
      <c r="A456" s="7">
        <v>5510</v>
      </c>
      <c r="B456" s="26" t="s">
        <v>764</v>
      </c>
    </row>
    <row r="457" spans="1:2" x14ac:dyDescent="0.25">
      <c r="A457" s="7">
        <v>5515</v>
      </c>
      <c r="B457" s="26" t="s">
        <v>765</v>
      </c>
    </row>
    <row r="458" spans="1:2" x14ac:dyDescent="0.25">
      <c r="A458" s="7">
        <v>5520</v>
      </c>
      <c r="B458" s="26" t="s">
        <v>766</v>
      </c>
    </row>
    <row r="459" spans="1:2" x14ac:dyDescent="0.25">
      <c r="A459" s="7">
        <v>5525</v>
      </c>
      <c r="B459" s="26" t="s">
        <v>767</v>
      </c>
    </row>
    <row r="460" spans="1:2" x14ac:dyDescent="0.25">
      <c r="A460" s="7">
        <v>6002</v>
      </c>
      <c r="B460" s="26" t="s">
        <v>768</v>
      </c>
    </row>
    <row r="461" spans="1:2" x14ac:dyDescent="0.25">
      <c r="A461" s="7">
        <v>6052</v>
      </c>
      <c r="B461" s="26" t="s">
        <v>769</v>
      </c>
    </row>
    <row r="462" spans="1:2" x14ac:dyDescent="0.25">
      <c r="A462" s="7">
        <v>6003</v>
      </c>
      <c r="B462" s="26" t="s">
        <v>770</v>
      </c>
    </row>
    <row r="463" spans="1:2" x14ac:dyDescent="0.25">
      <c r="A463" s="7">
        <v>6004</v>
      </c>
      <c r="B463" s="26" t="s">
        <v>771</v>
      </c>
    </row>
    <row r="464" spans="1:2" x14ac:dyDescent="0.25">
      <c r="A464" s="7">
        <v>6095</v>
      </c>
      <c r="B464" s="26" t="s">
        <v>772</v>
      </c>
    </row>
    <row r="465" spans="1:2" x14ac:dyDescent="0.25">
      <c r="A465" s="7">
        <v>6100</v>
      </c>
      <c r="B465" s="26" t="s">
        <v>773</v>
      </c>
    </row>
    <row r="466" spans="1:2" x14ac:dyDescent="0.25">
      <c r="A466" s="7">
        <f>A465+5</f>
        <v>6105</v>
      </c>
      <c r="B466" s="26" t="s">
        <v>774</v>
      </c>
    </row>
    <row r="467" spans="1:2" x14ac:dyDescent="0.25">
      <c r="A467" s="7">
        <v>6110</v>
      </c>
      <c r="B467" s="26" t="s">
        <v>775</v>
      </c>
    </row>
    <row r="468" spans="1:2" x14ac:dyDescent="0.25">
      <c r="A468" s="7">
        <f>A467+5</f>
        <v>6115</v>
      </c>
      <c r="B468" s="26" t="s">
        <v>776</v>
      </c>
    </row>
    <row r="469" spans="1:2" x14ac:dyDescent="0.25">
      <c r="A469" s="7">
        <v>6120</v>
      </c>
      <c r="B469" s="26" t="s">
        <v>777</v>
      </c>
    </row>
    <row r="470" spans="1:2" x14ac:dyDescent="0.25">
      <c r="A470" s="7">
        <v>6125</v>
      </c>
      <c r="B470" s="26" t="s">
        <v>778</v>
      </c>
    </row>
    <row r="471" spans="1:2" x14ac:dyDescent="0.25">
      <c r="A471" s="7">
        <v>6130</v>
      </c>
      <c r="B471" s="26" t="s">
        <v>779</v>
      </c>
    </row>
    <row r="472" spans="1:2" x14ac:dyDescent="0.25">
      <c r="A472" s="7">
        <v>7001</v>
      </c>
      <c r="B472" s="26" t="s">
        <v>780</v>
      </c>
    </row>
    <row r="473" spans="1:2" x14ac:dyDescent="0.25">
      <c r="A473" s="7">
        <v>9000</v>
      </c>
      <c r="B473" s="26" t="s">
        <v>781</v>
      </c>
    </row>
    <row r="474" spans="1:2" x14ac:dyDescent="0.25">
      <c r="A474" s="7">
        <v>9985</v>
      </c>
      <c r="B474" s="26" t="s">
        <v>782</v>
      </c>
    </row>
    <row r="475" spans="1:2" x14ac:dyDescent="0.25">
      <c r="A475" s="7">
        <v>9995</v>
      </c>
      <c r="B475" s="26" t="s">
        <v>783</v>
      </c>
    </row>
    <row r="476" spans="1:2" x14ac:dyDescent="0.25">
      <c r="A476" s="7">
        <v>9997</v>
      </c>
      <c r="B476" s="26" t="s">
        <v>784</v>
      </c>
    </row>
    <row r="477" spans="1:2" x14ac:dyDescent="0.25">
      <c r="A477" s="7">
        <v>9998</v>
      </c>
      <c r="B477" s="26" t="s">
        <v>785</v>
      </c>
    </row>
    <row r="478" spans="1:2" x14ac:dyDescent="0.25">
      <c r="A478" s="7">
        <v>9999</v>
      </c>
      <c r="B478" s="26" t="s">
        <v>786</v>
      </c>
    </row>
  </sheetData>
  <phoneticPr fontId="5" type="noConversion"/>
  <conditionalFormatting sqref="A89">
    <cfRule type="duplicateValues" dxfId="185" priority="123"/>
    <cfRule type="duplicateValues" dxfId="184" priority="124"/>
  </conditionalFormatting>
  <conditionalFormatting sqref="A146">
    <cfRule type="duplicateValues" dxfId="183" priority="69"/>
    <cfRule type="duplicateValues" dxfId="182" priority="70"/>
  </conditionalFormatting>
  <conditionalFormatting sqref="A148">
    <cfRule type="duplicateValues" dxfId="181" priority="107"/>
    <cfRule type="duplicateValues" dxfId="180" priority="108"/>
  </conditionalFormatting>
  <conditionalFormatting sqref="A152">
    <cfRule type="duplicateValues" dxfId="179" priority="17"/>
    <cfRule type="duplicateValues" dxfId="178" priority="18"/>
  </conditionalFormatting>
  <conditionalFormatting sqref="A153">
    <cfRule type="duplicateValues" dxfId="177" priority="13"/>
    <cfRule type="duplicateValues" dxfId="176" priority="14"/>
  </conditionalFormatting>
  <conditionalFormatting sqref="A154">
    <cfRule type="duplicateValues" dxfId="175" priority="11"/>
    <cfRule type="duplicateValues" dxfId="174" priority="12"/>
  </conditionalFormatting>
  <conditionalFormatting sqref="A155">
    <cfRule type="duplicateValues" dxfId="173" priority="9"/>
    <cfRule type="duplicateValues" dxfId="172" priority="10"/>
  </conditionalFormatting>
  <conditionalFormatting sqref="A156">
    <cfRule type="duplicateValues" dxfId="171" priority="7"/>
    <cfRule type="duplicateValues" dxfId="170" priority="8"/>
  </conditionalFormatting>
  <conditionalFormatting sqref="A157">
    <cfRule type="duplicateValues" dxfId="169" priority="5"/>
    <cfRule type="duplicateValues" dxfId="168" priority="6"/>
  </conditionalFormatting>
  <conditionalFormatting sqref="A158">
    <cfRule type="duplicateValues" dxfId="167" priority="3"/>
    <cfRule type="duplicateValues" dxfId="166" priority="4"/>
  </conditionalFormatting>
  <conditionalFormatting sqref="A159">
    <cfRule type="duplicateValues" dxfId="165" priority="1"/>
    <cfRule type="duplicateValues" dxfId="164" priority="2"/>
  </conditionalFormatting>
  <conditionalFormatting sqref="A201">
    <cfRule type="duplicateValues" dxfId="163" priority="170"/>
  </conditionalFormatting>
  <conditionalFormatting sqref="A205">
    <cfRule type="duplicateValues" dxfId="162" priority="149"/>
  </conditionalFormatting>
  <conditionalFormatting sqref="A206">
    <cfRule type="duplicateValues" dxfId="161" priority="148"/>
  </conditionalFormatting>
  <conditionalFormatting sqref="A207">
    <cfRule type="duplicateValues" dxfId="160" priority="131"/>
    <cfRule type="duplicateValues" dxfId="159" priority="132"/>
  </conditionalFormatting>
  <conditionalFormatting sqref="A208">
    <cfRule type="duplicateValues" dxfId="158" priority="129"/>
    <cfRule type="duplicateValues" dxfId="157" priority="130"/>
  </conditionalFormatting>
  <conditionalFormatting sqref="A209">
    <cfRule type="duplicateValues" dxfId="156" priority="121"/>
    <cfRule type="duplicateValues" dxfId="155" priority="122"/>
  </conditionalFormatting>
  <conditionalFormatting sqref="A210">
    <cfRule type="duplicateValues" dxfId="154" priority="117"/>
    <cfRule type="duplicateValues" dxfId="153" priority="118"/>
  </conditionalFormatting>
  <conditionalFormatting sqref="A211">
    <cfRule type="duplicateValues" dxfId="152" priority="119"/>
    <cfRule type="duplicateValues" dxfId="151" priority="120"/>
  </conditionalFormatting>
  <conditionalFormatting sqref="A212">
    <cfRule type="duplicateValues" dxfId="150" priority="115"/>
    <cfRule type="duplicateValues" dxfId="149" priority="116"/>
  </conditionalFormatting>
  <conditionalFormatting sqref="A244">
    <cfRule type="duplicateValues" dxfId="148" priority="158"/>
  </conditionalFormatting>
  <conditionalFormatting sqref="A248">
    <cfRule type="duplicateValues" dxfId="147" priority="95"/>
    <cfRule type="duplicateValues" dxfId="146" priority="96"/>
  </conditionalFormatting>
  <conditionalFormatting sqref="A257">
    <cfRule type="duplicateValues" dxfId="145" priority="73"/>
    <cfRule type="duplicateValues" dxfId="144" priority="74"/>
  </conditionalFormatting>
  <conditionalFormatting sqref="A264">
    <cfRule type="duplicateValues" dxfId="143" priority="160"/>
  </conditionalFormatting>
  <conditionalFormatting sqref="A266">
    <cfRule type="duplicateValues" dxfId="142" priority="67"/>
    <cfRule type="duplicateValues" dxfId="141" priority="68"/>
  </conditionalFormatting>
  <conditionalFormatting sqref="A269">
    <cfRule type="duplicateValues" dxfId="140" priority="178"/>
  </conditionalFormatting>
  <conditionalFormatting sqref="A296">
    <cfRule type="duplicateValues" dxfId="139" priority="133"/>
    <cfRule type="duplicateValues" dxfId="138" priority="134"/>
  </conditionalFormatting>
  <conditionalFormatting sqref="A303">
    <cfRule type="duplicateValues" dxfId="137" priority="93"/>
    <cfRule type="duplicateValues" dxfId="136" priority="94"/>
  </conditionalFormatting>
  <conditionalFormatting sqref="A304">
    <cfRule type="duplicateValues" dxfId="135" priority="89"/>
    <cfRule type="duplicateValues" dxfId="134" priority="90"/>
  </conditionalFormatting>
  <conditionalFormatting sqref="A305">
    <cfRule type="duplicateValues" dxfId="133" priority="91"/>
    <cfRule type="duplicateValues" dxfId="132" priority="92"/>
  </conditionalFormatting>
  <conditionalFormatting sqref="A307">
    <cfRule type="duplicateValues" dxfId="131" priority="105"/>
    <cfRule type="duplicateValues" dxfId="130" priority="106"/>
  </conditionalFormatting>
  <conditionalFormatting sqref="A314">
    <cfRule type="duplicateValues" dxfId="129" priority="87"/>
    <cfRule type="duplicateValues" dxfId="128" priority="88"/>
  </conditionalFormatting>
  <conditionalFormatting sqref="A320">
    <cfRule type="duplicateValues" dxfId="127" priority="113"/>
    <cfRule type="duplicateValues" dxfId="126" priority="114"/>
  </conditionalFormatting>
  <conditionalFormatting sqref="A321">
    <cfRule type="duplicateValues" dxfId="125" priority="111"/>
    <cfRule type="duplicateValues" dxfId="124" priority="112"/>
  </conditionalFormatting>
  <conditionalFormatting sqref="A322">
    <cfRule type="duplicateValues" dxfId="123" priority="109"/>
    <cfRule type="duplicateValues" dxfId="122" priority="110"/>
  </conditionalFormatting>
  <conditionalFormatting sqref="A330">
    <cfRule type="duplicateValues" dxfId="121" priority="157"/>
  </conditionalFormatting>
  <conditionalFormatting sqref="A351">
    <cfRule type="duplicateValues" dxfId="120" priority="150"/>
  </conditionalFormatting>
  <conditionalFormatting sqref="A352">
    <cfRule type="duplicateValues" dxfId="119" priority="145"/>
    <cfRule type="duplicateValues" dxfId="118" priority="146"/>
  </conditionalFormatting>
  <conditionalFormatting sqref="A353">
    <cfRule type="duplicateValues" dxfId="117" priority="143"/>
    <cfRule type="duplicateValues" dxfId="116" priority="144"/>
  </conditionalFormatting>
  <conditionalFormatting sqref="A354">
    <cfRule type="duplicateValues" dxfId="115" priority="138"/>
    <cfRule type="duplicateValues" dxfId="114" priority="142"/>
  </conditionalFormatting>
  <conditionalFormatting sqref="A355">
    <cfRule type="duplicateValues" dxfId="113" priority="137"/>
    <cfRule type="duplicateValues" dxfId="112" priority="141"/>
  </conditionalFormatting>
  <conditionalFormatting sqref="A356">
    <cfRule type="duplicateValues" dxfId="111" priority="136"/>
    <cfRule type="duplicateValues" dxfId="110" priority="140"/>
  </conditionalFormatting>
  <conditionalFormatting sqref="A357">
    <cfRule type="duplicateValues" dxfId="109" priority="135"/>
    <cfRule type="duplicateValues" dxfId="108" priority="139"/>
  </conditionalFormatting>
  <conditionalFormatting sqref="A358">
    <cfRule type="duplicateValues" dxfId="107" priority="99"/>
    <cfRule type="duplicateValues" dxfId="106" priority="100"/>
  </conditionalFormatting>
  <conditionalFormatting sqref="A368">
    <cfRule type="duplicateValues" dxfId="105" priority="51"/>
    <cfRule type="duplicateValues" dxfId="104" priority="52"/>
  </conditionalFormatting>
  <conditionalFormatting sqref="A369">
    <cfRule type="duplicateValues" dxfId="103" priority="41"/>
    <cfRule type="duplicateValues" dxfId="102" priority="42"/>
  </conditionalFormatting>
  <conditionalFormatting sqref="A371">
    <cfRule type="duplicateValues" dxfId="101" priority="49"/>
    <cfRule type="duplicateValues" dxfId="100" priority="50"/>
  </conditionalFormatting>
  <conditionalFormatting sqref="A373">
    <cfRule type="duplicateValues" dxfId="99" priority="47"/>
    <cfRule type="duplicateValues" dxfId="98" priority="48"/>
  </conditionalFormatting>
  <conditionalFormatting sqref="A375">
    <cfRule type="duplicateValues" dxfId="97" priority="45"/>
    <cfRule type="duplicateValues" dxfId="96" priority="46"/>
  </conditionalFormatting>
  <conditionalFormatting sqref="A376">
    <cfRule type="duplicateValues" dxfId="95" priority="63"/>
    <cfRule type="duplicateValues" dxfId="94" priority="64"/>
  </conditionalFormatting>
  <conditionalFormatting sqref="A379">
    <cfRule type="duplicateValues" dxfId="93" priority="60"/>
    <cfRule type="duplicateValues" dxfId="92" priority="62"/>
  </conditionalFormatting>
  <conditionalFormatting sqref="A380">
    <cfRule type="duplicateValues" dxfId="91" priority="55"/>
    <cfRule type="duplicateValues" dxfId="90" priority="56"/>
  </conditionalFormatting>
  <conditionalFormatting sqref="A381">
    <cfRule type="duplicateValues" dxfId="89" priority="59"/>
    <cfRule type="duplicateValues" dxfId="88" priority="61"/>
  </conditionalFormatting>
  <conditionalFormatting sqref="A382">
    <cfRule type="duplicateValues" dxfId="87" priority="53"/>
    <cfRule type="duplicateValues" dxfId="86" priority="54"/>
  </conditionalFormatting>
  <conditionalFormatting sqref="A416">
    <cfRule type="duplicateValues" dxfId="85" priority="185"/>
  </conditionalFormatting>
  <conditionalFormatting sqref="A417">
    <cfRule type="duplicateValues" dxfId="84" priority="184"/>
  </conditionalFormatting>
  <conditionalFormatting sqref="A418">
    <cfRule type="duplicateValues" dxfId="83" priority="183"/>
  </conditionalFormatting>
  <conditionalFormatting sqref="A419">
    <cfRule type="duplicateValues" dxfId="82" priority="182"/>
  </conditionalFormatting>
  <conditionalFormatting sqref="A420">
    <cfRule type="duplicateValues" dxfId="81" priority="181"/>
  </conditionalFormatting>
  <conditionalFormatting sqref="A421">
    <cfRule type="duplicateValues" dxfId="80" priority="180"/>
  </conditionalFormatting>
  <conditionalFormatting sqref="A422">
    <cfRule type="duplicateValues" dxfId="79" priority="179"/>
  </conditionalFormatting>
  <conditionalFormatting sqref="A423">
    <cfRule type="duplicateValues" dxfId="78" priority="174"/>
  </conditionalFormatting>
  <conditionalFormatting sqref="A429">
    <cfRule type="duplicateValues" dxfId="77" priority="156"/>
  </conditionalFormatting>
  <conditionalFormatting sqref="A430">
    <cfRule type="duplicateValues" dxfId="76" priority="176"/>
  </conditionalFormatting>
  <conditionalFormatting sqref="A431">
    <cfRule type="duplicateValues" dxfId="75" priority="175"/>
  </conditionalFormatting>
  <conditionalFormatting sqref="A432">
    <cfRule type="duplicateValues" dxfId="74" priority="168"/>
  </conditionalFormatting>
  <conditionalFormatting sqref="A433">
    <cfRule type="duplicateValues" dxfId="73" priority="167"/>
  </conditionalFormatting>
  <conditionalFormatting sqref="A434">
    <cfRule type="duplicateValues" dxfId="72" priority="166"/>
  </conditionalFormatting>
  <conditionalFormatting sqref="A435">
    <cfRule type="duplicateValues" dxfId="71" priority="165"/>
  </conditionalFormatting>
  <conditionalFormatting sqref="A436">
    <cfRule type="duplicateValues" dxfId="70" priority="164"/>
  </conditionalFormatting>
  <conditionalFormatting sqref="A437">
    <cfRule type="duplicateValues" dxfId="69" priority="163"/>
  </conditionalFormatting>
  <conditionalFormatting sqref="A442">
    <cfRule type="duplicateValues" dxfId="68" priority="161"/>
  </conditionalFormatting>
  <conditionalFormatting sqref="A443">
    <cfRule type="duplicateValues" dxfId="67" priority="19"/>
    <cfRule type="duplicateValues" dxfId="66" priority="20"/>
  </conditionalFormatting>
  <conditionalFormatting sqref="A444">
    <cfRule type="duplicateValues" dxfId="65" priority="153"/>
  </conditionalFormatting>
  <conditionalFormatting sqref="A445">
    <cfRule type="duplicateValues" dxfId="64" priority="152"/>
  </conditionalFormatting>
  <conditionalFormatting sqref="A446">
    <cfRule type="duplicateValues" dxfId="63" priority="85"/>
    <cfRule type="duplicateValues" dxfId="62" priority="86"/>
  </conditionalFormatting>
  <conditionalFormatting sqref="A447">
    <cfRule type="duplicateValues" dxfId="61" priority="83"/>
    <cfRule type="duplicateValues" dxfId="60" priority="84"/>
  </conditionalFormatting>
  <conditionalFormatting sqref="A448">
    <cfRule type="duplicateValues" dxfId="59" priority="81"/>
    <cfRule type="duplicateValues" dxfId="58" priority="82"/>
  </conditionalFormatting>
  <conditionalFormatting sqref="A449">
    <cfRule type="duplicateValues" dxfId="57" priority="79"/>
    <cfRule type="duplicateValues" dxfId="56" priority="80"/>
  </conditionalFormatting>
  <conditionalFormatting sqref="A450">
    <cfRule type="duplicateValues" dxfId="55" priority="77"/>
    <cfRule type="duplicateValues" dxfId="54" priority="78"/>
  </conditionalFormatting>
  <conditionalFormatting sqref="A451">
    <cfRule type="duplicateValues" dxfId="53" priority="75"/>
    <cfRule type="duplicateValues" dxfId="52" priority="76"/>
  </conditionalFormatting>
  <conditionalFormatting sqref="A452">
    <cfRule type="duplicateValues" dxfId="51" priority="101"/>
    <cfRule type="duplicateValues" dxfId="50" priority="102"/>
  </conditionalFormatting>
  <conditionalFormatting sqref="A453">
    <cfRule type="duplicateValues" dxfId="49" priority="71"/>
    <cfRule type="duplicateValues" dxfId="48" priority="72"/>
  </conditionalFormatting>
  <conditionalFormatting sqref="A463">
    <cfRule type="duplicateValues" dxfId="47" priority="177"/>
  </conditionalFormatting>
  <conditionalFormatting sqref="A464">
    <cfRule type="duplicateValues" dxfId="46" priority="25"/>
    <cfRule type="duplicateValues" dxfId="45" priority="26"/>
  </conditionalFormatting>
  <conditionalFormatting sqref="A465">
    <cfRule type="duplicateValues" dxfId="44" priority="37"/>
    <cfRule type="duplicateValues" dxfId="43" priority="38"/>
  </conditionalFormatting>
  <conditionalFormatting sqref="A466">
    <cfRule type="duplicateValues" dxfId="42" priority="35"/>
    <cfRule type="duplicateValues" dxfId="41" priority="36"/>
  </conditionalFormatting>
  <conditionalFormatting sqref="A467">
    <cfRule type="duplicateValues" dxfId="40" priority="33"/>
    <cfRule type="duplicateValues" dxfId="39" priority="34"/>
  </conditionalFormatting>
  <conditionalFormatting sqref="A468">
    <cfRule type="duplicateValues" dxfId="38" priority="31"/>
    <cfRule type="duplicateValues" dxfId="37" priority="32"/>
  </conditionalFormatting>
  <conditionalFormatting sqref="A469">
    <cfRule type="duplicateValues" dxfId="36" priority="29"/>
    <cfRule type="duplicateValues" dxfId="35" priority="30"/>
  </conditionalFormatting>
  <conditionalFormatting sqref="A470">
    <cfRule type="duplicateValues" dxfId="34" priority="27"/>
    <cfRule type="duplicateValues" dxfId="33" priority="28"/>
  </conditionalFormatting>
  <conditionalFormatting sqref="A471">
    <cfRule type="duplicateValues" dxfId="32" priority="23"/>
    <cfRule type="duplicateValues" dxfId="31" priority="24"/>
  </conditionalFormatting>
  <conditionalFormatting sqref="A472">
    <cfRule type="duplicateValues" dxfId="30" priority="154"/>
  </conditionalFormatting>
  <conditionalFormatting sqref="A473">
    <cfRule type="duplicateValues" dxfId="29" priority="15"/>
    <cfRule type="duplicateValues" dxfId="28" priority="16"/>
  </conditionalFormatting>
  <conditionalFormatting sqref="A474">
    <cfRule type="duplicateValues" dxfId="27" priority="125"/>
    <cfRule type="duplicateValues" dxfId="26" priority="126"/>
  </conditionalFormatting>
  <conditionalFormatting sqref="A475">
    <cfRule type="duplicateValues" dxfId="25" priority="127"/>
    <cfRule type="duplicateValues" dxfId="24" priority="128"/>
  </conditionalFormatting>
  <conditionalFormatting sqref="A476">
    <cfRule type="duplicateValues" dxfId="23" priority="65"/>
    <cfRule type="duplicateValues" dxfId="22" priority="66"/>
  </conditionalFormatting>
  <conditionalFormatting sqref="A477">
    <cfRule type="duplicateValues" dxfId="21" priority="155"/>
  </conditionalFormatting>
  <conditionalFormatting sqref="A478">
    <cfRule type="duplicateValues" dxfId="20" priority="159"/>
  </conditionalFormatting>
  <conditionalFormatting sqref="A202:A204">
    <cfRule type="duplicateValues" dxfId="19" priority="169"/>
  </conditionalFormatting>
  <conditionalFormatting sqref="A215:A216">
    <cfRule type="duplicateValues" dxfId="18" priority="21"/>
    <cfRule type="duplicateValues" dxfId="17" priority="22"/>
  </conditionalFormatting>
  <conditionalFormatting sqref="A308:A310">
    <cfRule type="duplicateValues" dxfId="16" priority="103"/>
    <cfRule type="duplicateValues" dxfId="15" priority="104"/>
  </conditionalFormatting>
  <conditionalFormatting sqref="A347:A350">
    <cfRule type="duplicateValues" dxfId="14" priority="151"/>
  </conditionalFormatting>
  <conditionalFormatting sqref="A377:A378">
    <cfRule type="duplicateValues" dxfId="13" priority="43"/>
    <cfRule type="duplicateValues" dxfId="12" priority="44"/>
  </conditionalFormatting>
  <conditionalFormatting sqref="A383:A386">
    <cfRule type="duplicateValues" dxfId="11" priority="57"/>
    <cfRule type="duplicateValues" dxfId="10" priority="58"/>
  </conditionalFormatting>
  <conditionalFormatting sqref="A424:A426">
    <cfRule type="duplicateValues" dxfId="9" priority="173"/>
  </conditionalFormatting>
  <conditionalFormatting sqref="A427:A428">
    <cfRule type="duplicateValues" dxfId="8" priority="172"/>
  </conditionalFormatting>
  <conditionalFormatting sqref="A438:A441">
    <cfRule type="duplicateValues" dxfId="7" priority="162"/>
  </conditionalFormatting>
  <conditionalFormatting sqref="A454:A459">
    <cfRule type="duplicateValues" dxfId="6" priority="39"/>
    <cfRule type="duplicateValues" dxfId="5" priority="40"/>
  </conditionalFormatting>
  <conditionalFormatting sqref="A1:A88 A149 A90:A145 A147 A160:A200 A217:A243 A267:A268 A249:A256 A258:A263 A323:A329 A331:A346 A270:A295 A297:A302 A306 A311:A313 A315:A319 A265 A245:A247 A387:A415 A460:A462">
    <cfRule type="duplicateValues" dxfId="4" priority="186"/>
  </conditionalFormatting>
  <conditionalFormatting sqref="A1:A88 A90:A145 A147 A149:A151 A160:A206 A213:A214 A217:A247 A311:A313 A297:A302 A306 A315:A319 A258:A265 A323:A351 A267:A295 A249:A256 A472 A444:A445 A477:A478 A460:A463 A387:A442">
    <cfRule type="duplicateValues" dxfId="3" priority="147"/>
  </conditionalFormatting>
  <conditionalFormatting sqref="A150:A151 A213:A214">
    <cfRule type="duplicateValues" dxfId="2" priority="171"/>
  </conditionalFormatting>
  <conditionalFormatting sqref="A359:A367 A370 A374 A372">
    <cfRule type="duplicateValues" dxfId="1" priority="97"/>
    <cfRule type="duplicateValues" dxfId="0" priority="98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63"/>
  <sheetViews>
    <sheetView workbookViewId="0">
      <selection activeCell="A7" sqref="A7:XFD7"/>
    </sheetView>
  </sheetViews>
  <sheetFormatPr defaultColWidth="9" defaultRowHeight="14.4" x14ac:dyDescent="0.25"/>
  <cols>
    <col min="1" max="1" width="8.44140625" style="4" customWidth="1"/>
    <col min="2" max="2" width="20.6640625" style="3" customWidth="1"/>
    <col min="3" max="3" width="12.6640625" style="4" customWidth="1"/>
    <col min="4" max="4" width="10.6640625" style="4" customWidth="1"/>
    <col min="5" max="5" width="10.88671875" style="4" customWidth="1"/>
    <col min="6" max="6" width="21" style="4" customWidth="1"/>
    <col min="7" max="7" width="28.6640625" style="5" customWidth="1"/>
    <col min="8" max="8" width="29.21875" style="4" customWidth="1"/>
    <col min="9" max="9" width="12.21875" style="4" customWidth="1"/>
    <col min="10" max="10" width="73.88671875" style="3" customWidth="1"/>
    <col min="11" max="11" width="65.33203125" style="4" customWidth="1"/>
    <col min="12" max="12" width="29" style="3" customWidth="1"/>
    <col min="13" max="13" width="38.21875" style="4" customWidth="1"/>
    <col min="14" max="14" width="12.33203125" style="6" customWidth="1"/>
    <col min="15" max="15" width="16.77734375" style="4" customWidth="1"/>
    <col min="16" max="16" width="10" style="4" customWidth="1"/>
    <col min="17" max="16384" width="9" style="4"/>
  </cols>
  <sheetData>
    <row r="1" spans="1:16" x14ac:dyDescent="0.25">
      <c r="A1" s="7">
        <v>1</v>
      </c>
      <c r="B1" s="2"/>
      <c r="C1" s="7"/>
      <c r="D1" s="7"/>
      <c r="E1" s="7"/>
      <c r="F1" s="7"/>
      <c r="G1" s="1"/>
      <c r="H1" s="7"/>
      <c r="I1" s="7"/>
      <c r="J1" s="2"/>
      <c r="K1" s="7"/>
      <c r="L1" s="2"/>
      <c r="M1" s="7"/>
      <c r="N1" s="14"/>
      <c r="O1" s="7"/>
      <c r="P1" s="7"/>
    </row>
    <row r="2" spans="1:16" s="3" customFormat="1" ht="28.8" x14ac:dyDescent="0.25">
      <c r="A2" s="8" t="s">
        <v>0</v>
      </c>
      <c r="B2" s="8"/>
      <c r="C2" s="8" t="s">
        <v>1</v>
      </c>
      <c r="D2" s="9" t="s">
        <v>2</v>
      </c>
      <c r="E2" s="9" t="s">
        <v>3</v>
      </c>
      <c r="F2" s="7"/>
      <c r="G2" s="10" t="s">
        <v>4</v>
      </c>
      <c r="H2" s="2"/>
      <c r="I2" s="10" t="s">
        <v>5</v>
      </c>
      <c r="J2" s="15" t="s">
        <v>6</v>
      </c>
      <c r="K2" s="2"/>
      <c r="L2" s="15" t="s">
        <v>7</v>
      </c>
      <c r="M2" s="2"/>
      <c r="N2" s="16" t="s">
        <v>8</v>
      </c>
      <c r="O2" s="2"/>
      <c r="P2" s="15" t="s">
        <v>9</v>
      </c>
    </row>
    <row r="3" spans="1:16" s="3" customFormat="1" ht="57.6" x14ac:dyDescent="0.25">
      <c r="A3" s="8" t="s">
        <v>11</v>
      </c>
      <c r="B3" s="8" t="s">
        <v>12</v>
      </c>
      <c r="C3" s="8" t="s">
        <v>13</v>
      </c>
      <c r="D3" s="9" t="s">
        <v>14</v>
      </c>
      <c r="E3" s="9" t="s">
        <v>15</v>
      </c>
      <c r="F3" s="9" t="s">
        <v>16</v>
      </c>
      <c r="G3" s="10" t="s">
        <v>17</v>
      </c>
      <c r="H3" s="9" t="s">
        <v>18</v>
      </c>
      <c r="I3" s="10" t="s">
        <v>19</v>
      </c>
      <c r="J3" s="15" t="s">
        <v>20</v>
      </c>
      <c r="K3" s="9" t="s">
        <v>21</v>
      </c>
      <c r="L3" s="15" t="s">
        <v>22</v>
      </c>
      <c r="M3" s="9" t="s">
        <v>23</v>
      </c>
      <c r="N3" s="16" t="s">
        <v>24</v>
      </c>
      <c r="O3" s="9" t="s">
        <v>24</v>
      </c>
      <c r="P3" s="15" t="s">
        <v>25</v>
      </c>
    </row>
    <row r="4" spans="1:16" x14ac:dyDescent="0.25">
      <c r="A4" s="11" t="s">
        <v>27</v>
      </c>
      <c r="B4" s="8"/>
      <c r="C4" s="11" t="s">
        <v>27</v>
      </c>
      <c r="D4" s="12" t="s">
        <v>27</v>
      </c>
      <c r="E4" s="12" t="s">
        <v>27</v>
      </c>
      <c r="F4" s="12"/>
      <c r="G4" s="10" t="s">
        <v>27</v>
      </c>
      <c r="H4" s="7"/>
      <c r="I4" s="17" t="s">
        <v>27</v>
      </c>
      <c r="J4" s="15" t="s">
        <v>27</v>
      </c>
      <c r="K4" s="7"/>
      <c r="L4" s="15" t="s">
        <v>27</v>
      </c>
      <c r="M4" s="7"/>
      <c r="N4" s="18" t="s">
        <v>27</v>
      </c>
      <c r="O4" s="7"/>
      <c r="P4" s="19" t="s">
        <v>27</v>
      </c>
    </row>
    <row r="5" spans="1:16" s="3" customFormat="1" ht="43.2" x14ac:dyDescent="0.25">
      <c r="A5" s="8" t="s">
        <v>28</v>
      </c>
      <c r="B5" s="8"/>
      <c r="C5" s="8" t="s">
        <v>28</v>
      </c>
      <c r="D5" s="9" t="s">
        <v>29</v>
      </c>
      <c r="E5" s="9" t="s">
        <v>30</v>
      </c>
      <c r="F5" s="9"/>
      <c r="G5" s="10" t="s">
        <v>30</v>
      </c>
      <c r="H5" s="2"/>
      <c r="I5" s="10" t="s">
        <v>29</v>
      </c>
      <c r="J5" s="15" t="s">
        <v>31</v>
      </c>
      <c r="K5" s="2"/>
      <c r="L5" s="15" t="s">
        <v>31</v>
      </c>
      <c r="M5" s="2"/>
      <c r="N5" s="16" t="s">
        <v>29</v>
      </c>
      <c r="O5" s="2"/>
      <c r="P5" s="15" t="s">
        <v>29</v>
      </c>
    </row>
    <row r="6" spans="1:16" ht="409.6" x14ac:dyDescent="0.25">
      <c r="A6" s="7">
        <v>30000</v>
      </c>
      <c r="B6" s="2" t="s">
        <v>36</v>
      </c>
      <c r="C6" s="7"/>
      <c r="D6" s="7"/>
      <c r="E6" s="7"/>
      <c r="F6" s="2" t="e">
        <f t="shared" ref="F6:F46" si="0">ReplaceValuesUDF(E6,"Sheet2")</f>
        <v>#NAME?</v>
      </c>
      <c r="G6" s="1"/>
      <c r="H6" s="2" t="e">
        <f t="shared" ref="H6:H37" si="1">ReplaceValuesUDF(G6,"Sheet2")</f>
        <v>#NAME?</v>
      </c>
      <c r="I6" s="13"/>
      <c r="J6" s="1" t="s">
        <v>787</v>
      </c>
      <c r="K6" s="2" t="e">
        <f t="shared" ref="K6:K37" si="2">ReplaceValuesUDF(J6,"Sheet2")</f>
        <v>#NAME?</v>
      </c>
      <c r="L6" s="1"/>
      <c r="M6" s="2" t="e">
        <f t="shared" ref="M6:M46" si="3">ReplaceValuesUDF(L6,"Sheet2")</f>
        <v>#NAME?</v>
      </c>
      <c r="N6" s="20"/>
      <c r="O6" s="2" t="e">
        <f t="shared" ref="O6:O46" si="4">ReplaceValuesUDF(N6,"Sheet2")</f>
        <v>#NAME?</v>
      </c>
      <c r="P6" s="7"/>
    </row>
    <row r="7" spans="1:16" ht="69" customHeight="1" x14ac:dyDescent="0.25">
      <c r="A7" s="7">
        <f t="shared" ref="A7:A17" si="5">A6+10</f>
        <v>30010</v>
      </c>
      <c r="B7" s="2" t="s">
        <v>105</v>
      </c>
      <c r="C7" s="7"/>
      <c r="D7" s="7"/>
      <c r="E7" s="7"/>
      <c r="F7" s="2" t="e">
        <f t="shared" si="0"/>
        <v>#NAME?</v>
      </c>
      <c r="G7" s="1" t="s">
        <v>106</v>
      </c>
      <c r="H7" s="2" t="e">
        <f t="shared" si="1"/>
        <v>#NAME?</v>
      </c>
      <c r="I7" s="13"/>
      <c r="J7" s="1" t="s">
        <v>788</v>
      </c>
      <c r="K7" s="2" t="e">
        <f t="shared" si="2"/>
        <v>#NAME?</v>
      </c>
      <c r="L7" s="1"/>
      <c r="M7" s="2" t="e">
        <f t="shared" si="3"/>
        <v>#NAME?</v>
      </c>
      <c r="N7" s="20" t="s">
        <v>789</v>
      </c>
      <c r="O7" s="2" t="e">
        <f t="shared" si="4"/>
        <v>#NAME?</v>
      </c>
      <c r="P7" s="7"/>
    </row>
    <row r="8" spans="1:16" x14ac:dyDescent="0.25">
      <c r="A8" s="7">
        <f t="shared" si="5"/>
        <v>30020</v>
      </c>
      <c r="B8" s="2" t="s">
        <v>790</v>
      </c>
      <c r="C8" s="7"/>
      <c r="D8" s="7"/>
      <c r="E8" s="7"/>
      <c r="F8" s="2" t="e">
        <f t="shared" si="0"/>
        <v>#NAME?</v>
      </c>
      <c r="G8" s="1" t="s">
        <v>791</v>
      </c>
      <c r="H8" s="2" t="e">
        <f t="shared" si="1"/>
        <v>#NAME?</v>
      </c>
      <c r="I8" s="13"/>
      <c r="J8" s="1" t="s">
        <v>792</v>
      </c>
      <c r="K8" s="2" t="e">
        <f t="shared" si="2"/>
        <v>#NAME?</v>
      </c>
      <c r="L8" s="1"/>
      <c r="M8" s="2" t="e">
        <f t="shared" si="3"/>
        <v>#NAME?</v>
      </c>
      <c r="N8" s="20" t="s">
        <v>793</v>
      </c>
      <c r="O8" s="2" t="e">
        <f t="shared" si="4"/>
        <v>#NAME?</v>
      </c>
      <c r="P8" s="7"/>
    </row>
    <row r="9" spans="1:16" x14ac:dyDescent="0.25">
      <c r="A9" s="7">
        <f t="shared" si="5"/>
        <v>30030</v>
      </c>
      <c r="B9" s="2" t="s">
        <v>112</v>
      </c>
      <c r="C9" s="7"/>
      <c r="D9" s="7"/>
      <c r="E9" s="7"/>
      <c r="F9" s="2" t="e">
        <f t="shared" si="0"/>
        <v>#NAME?</v>
      </c>
      <c r="G9" s="1" t="s">
        <v>113</v>
      </c>
      <c r="H9" s="2" t="e">
        <f t="shared" si="1"/>
        <v>#NAME?</v>
      </c>
      <c r="I9" s="13"/>
      <c r="J9" s="1" t="s">
        <v>114</v>
      </c>
      <c r="K9" s="2" t="e">
        <f t="shared" si="2"/>
        <v>#NAME?</v>
      </c>
      <c r="L9" s="1"/>
      <c r="M9" s="2" t="e">
        <f t="shared" si="3"/>
        <v>#NAME?</v>
      </c>
      <c r="N9" s="20" t="s">
        <v>115</v>
      </c>
      <c r="O9" s="2" t="e">
        <f t="shared" si="4"/>
        <v>#NAME?</v>
      </c>
      <c r="P9" s="7"/>
    </row>
    <row r="10" spans="1:16" ht="28.8" x14ac:dyDescent="0.25">
      <c r="A10" s="7">
        <f t="shared" si="5"/>
        <v>30040</v>
      </c>
      <c r="B10" s="2" t="s">
        <v>116</v>
      </c>
      <c r="C10" s="7"/>
      <c r="D10" s="7"/>
      <c r="E10" s="7"/>
      <c r="F10" s="2" t="e">
        <f t="shared" si="0"/>
        <v>#NAME?</v>
      </c>
      <c r="G10" s="1" t="s">
        <v>117</v>
      </c>
      <c r="H10" s="2" t="e">
        <f t="shared" si="1"/>
        <v>#NAME?</v>
      </c>
      <c r="I10" s="13"/>
      <c r="J10" s="1" t="s">
        <v>118</v>
      </c>
      <c r="K10" s="2" t="e">
        <f t="shared" si="2"/>
        <v>#NAME?</v>
      </c>
      <c r="L10" s="1"/>
      <c r="M10" s="2" t="e">
        <f t="shared" si="3"/>
        <v>#NAME?</v>
      </c>
      <c r="N10" s="20" t="s">
        <v>794</v>
      </c>
      <c r="O10" s="2" t="e">
        <f t="shared" si="4"/>
        <v>#NAME?</v>
      </c>
      <c r="P10" s="7"/>
    </row>
    <row r="11" spans="1:16" x14ac:dyDescent="0.25">
      <c r="A11" s="7">
        <f t="shared" si="5"/>
        <v>30050</v>
      </c>
      <c r="B11" s="2" t="s">
        <v>119</v>
      </c>
      <c r="C11" s="7"/>
      <c r="D11" s="7"/>
      <c r="E11" s="7"/>
      <c r="F11" s="2" t="e">
        <f t="shared" si="0"/>
        <v>#NAME?</v>
      </c>
      <c r="G11" s="1" t="s">
        <v>120</v>
      </c>
      <c r="H11" s="2" t="e">
        <f t="shared" si="1"/>
        <v>#NAME?</v>
      </c>
      <c r="I11" s="13"/>
      <c r="J11" s="1" t="s">
        <v>121</v>
      </c>
      <c r="K11" s="2" t="e">
        <f t="shared" si="2"/>
        <v>#NAME?</v>
      </c>
      <c r="L11" s="1"/>
      <c r="M11" s="2" t="e">
        <f t="shared" si="3"/>
        <v>#NAME?</v>
      </c>
      <c r="N11" s="20" t="s">
        <v>122</v>
      </c>
      <c r="O11" s="2" t="e">
        <f t="shared" si="4"/>
        <v>#NAME?</v>
      </c>
      <c r="P11" s="7"/>
    </row>
    <row r="12" spans="1:16" ht="28.8" x14ac:dyDescent="0.25">
      <c r="A12" s="7">
        <f t="shared" si="5"/>
        <v>30060</v>
      </c>
      <c r="B12" s="2" t="s">
        <v>123</v>
      </c>
      <c r="C12" s="7"/>
      <c r="D12" s="7"/>
      <c r="E12" s="7"/>
      <c r="F12" s="2" t="e">
        <f t="shared" si="0"/>
        <v>#NAME?</v>
      </c>
      <c r="G12" s="1" t="s">
        <v>124</v>
      </c>
      <c r="H12" s="2" t="e">
        <f t="shared" si="1"/>
        <v>#NAME?</v>
      </c>
      <c r="I12" s="13"/>
      <c r="J12" s="1" t="s">
        <v>795</v>
      </c>
      <c r="K12" s="2" t="e">
        <f t="shared" si="2"/>
        <v>#NAME?</v>
      </c>
      <c r="L12" s="1" t="s">
        <v>796</v>
      </c>
      <c r="M12" s="2" t="e">
        <f t="shared" si="3"/>
        <v>#NAME?</v>
      </c>
      <c r="N12" s="20"/>
      <c r="O12" s="2" t="e">
        <f t="shared" si="4"/>
        <v>#NAME?</v>
      </c>
      <c r="P12" s="7"/>
    </row>
    <row r="13" spans="1:16" x14ac:dyDescent="0.25">
      <c r="A13" s="7">
        <f t="shared" si="5"/>
        <v>30070</v>
      </c>
      <c r="B13" s="2" t="s">
        <v>127</v>
      </c>
      <c r="C13" s="7"/>
      <c r="D13" s="7"/>
      <c r="E13" s="7"/>
      <c r="F13" s="2" t="e">
        <f t="shared" si="0"/>
        <v>#NAME?</v>
      </c>
      <c r="G13" s="1" t="s">
        <v>128</v>
      </c>
      <c r="H13" s="2" t="e">
        <f t="shared" si="1"/>
        <v>#NAME?</v>
      </c>
      <c r="I13" s="13"/>
      <c r="J13" s="1" t="s">
        <v>797</v>
      </c>
      <c r="K13" s="2" t="e">
        <f t="shared" si="2"/>
        <v>#NAME?</v>
      </c>
      <c r="L13" s="1"/>
      <c r="M13" s="2" t="e">
        <f t="shared" si="3"/>
        <v>#NAME?</v>
      </c>
      <c r="N13" s="20"/>
      <c r="O13" s="2" t="e">
        <f t="shared" si="4"/>
        <v>#NAME?</v>
      </c>
      <c r="P13" s="7"/>
    </row>
    <row r="14" spans="1:16" x14ac:dyDescent="0.25">
      <c r="A14" s="7">
        <f t="shared" si="5"/>
        <v>30080</v>
      </c>
      <c r="B14" s="2" t="s">
        <v>130</v>
      </c>
      <c r="C14" s="7"/>
      <c r="D14" s="7"/>
      <c r="E14" s="7"/>
      <c r="F14" s="2" t="e">
        <f t="shared" si="0"/>
        <v>#NAME?</v>
      </c>
      <c r="G14" s="1" t="s">
        <v>131</v>
      </c>
      <c r="H14" s="2" t="e">
        <f t="shared" si="1"/>
        <v>#NAME?</v>
      </c>
      <c r="I14" s="13"/>
      <c r="J14" s="1" t="s">
        <v>132</v>
      </c>
      <c r="K14" s="2" t="e">
        <f t="shared" si="2"/>
        <v>#NAME?</v>
      </c>
      <c r="L14" s="1"/>
      <c r="M14" s="2" t="e">
        <f t="shared" si="3"/>
        <v>#NAME?</v>
      </c>
      <c r="N14" s="20"/>
      <c r="O14" s="2" t="e">
        <f t="shared" si="4"/>
        <v>#NAME?</v>
      </c>
      <c r="P14" s="7"/>
    </row>
    <row r="15" spans="1:16" ht="28.8" x14ac:dyDescent="0.25">
      <c r="A15" s="7">
        <f t="shared" si="5"/>
        <v>30090</v>
      </c>
      <c r="B15" s="2" t="s">
        <v>798</v>
      </c>
      <c r="C15" s="7"/>
      <c r="D15" s="7"/>
      <c r="E15" s="7"/>
      <c r="F15" s="2" t="e">
        <f t="shared" si="0"/>
        <v>#NAME?</v>
      </c>
      <c r="G15" s="1" t="s">
        <v>134</v>
      </c>
      <c r="H15" s="2" t="e">
        <f t="shared" si="1"/>
        <v>#NAME?</v>
      </c>
      <c r="I15" s="13"/>
      <c r="J15" s="1" t="s">
        <v>799</v>
      </c>
      <c r="K15" s="2" t="e">
        <f t="shared" si="2"/>
        <v>#NAME?</v>
      </c>
      <c r="L15" s="1" t="s">
        <v>800</v>
      </c>
      <c r="M15" s="2" t="e">
        <f t="shared" si="3"/>
        <v>#NAME?</v>
      </c>
      <c r="N15" s="20"/>
      <c r="O15" s="2" t="e">
        <f t="shared" si="4"/>
        <v>#NAME?</v>
      </c>
      <c r="P15" s="7"/>
    </row>
    <row r="16" spans="1:16" ht="57.6" x14ac:dyDescent="0.25">
      <c r="A16" s="7">
        <f t="shared" si="5"/>
        <v>30100</v>
      </c>
      <c r="B16" s="2" t="s">
        <v>142</v>
      </c>
      <c r="C16" s="7"/>
      <c r="D16" s="7"/>
      <c r="E16" s="7"/>
      <c r="F16" s="2" t="e">
        <f t="shared" si="0"/>
        <v>#NAME?</v>
      </c>
      <c r="G16" s="1" t="s">
        <v>143</v>
      </c>
      <c r="H16" s="2" t="e">
        <f t="shared" si="1"/>
        <v>#NAME?</v>
      </c>
      <c r="I16" s="13"/>
      <c r="J16" s="1" t="s">
        <v>801</v>
      </c>
      <c r="K16" s="2" t="e">
        <f t="shared" si="2"/>
        <v>#NAME?</v>
      </c>
      <c r="L16" s="1" t="s">
        <v>145</v>
      </c>
      <c r="M16" s="2" t="e">
        <f t="shared" si="3"/>
        <v>#NAME?</v>
      </c>
      <c r="N16" s="20" t="s">
        <v>802</v>
      </c>
      <c r="O16" s="2" t="e">
        <f t="shared" si="4"/>
        <v>#NAME?</v>
      </c>
      <c r="P16" s="7"/>
    </row>
    <row r="17" spans="1:16" ht="28.8" x14ac:dyDescent="0.25">
      <c r="A17" s="7">
        <f t="shared" si="5"/>
        <v>30110</v>
      </c>
      <c r="B17" s="2" t="s">
        <v>149</v>
      </c>
      <c r="C17" s="7"/>
      <c r="D17" s="7"/>
      <c r="E17" s="7"/>
      <c r="F17" s="2" t="e">
        <f t="shared" si="0"/>
        <v>#NAME?</v>
      </c>
      <c r="G17" s="1" t="s">
        <v>150</v>
      </c>
      <c r="H17" s="2" t="e">
        <f t="shared" si="1"/>
        <v>#NAME?</v>
      </c>
      <c r="I17" s="13"/>
      <c r="J17" s="1" t="s">
        <v>803</v>
      </c>
      <c r="K17" s="2" t="e">
        <f t="shared" si="2"/>
        <v>#NAME?</v>
      </c>
      <c r="L17" s="1" t="s">
        <v>804</v>
      </c>
      <c r="M17" s="2" t="e">
        <f t="shared" si="3"/>
        <v>#NAME?</v>
      </c>
      <c r="N17" s="20"/>
      <c r="O17" s="2" t="e">
        <f t="shared" si="4"/>
        <v>#NAME?</v>
      </c>
      <c r="P17" s="7"/>
    </row>
    <row r="18" spans="1:16" x14ac:dyDescent="0.25">
      <c r="A18" s="7">
        <v>10010</v>
      </c>
      <c r="B18" s="2" t="s">
        <v>805</v>
      </c>
      <c r="C18" s="7"/>
      <c r="D18" s="7"/>
      <c r="E18" s="7"/>
      <c r="F18" s="2" t="e">
        <f t="shared" si="0"/>
        <v>#NAME?</v>
      </c>
      <c r="G18" s="1" t="s">
        <v>806</v>
      </c>
      <c r="H18" s="2" t="e">
        <f t="shared" si="1"/>
        <v>#NAME?</v>
      </c>
      <c r="I18" s="13"/>
      <c r="J18" s="1" t="s">
        <v>807</v>
      </c>
      <c r="K18" s="2" t="e">
        <f t="shared" si="2"/>
        <v>#NAME?</v>
      </c>
      <c r="L18" s="1"/>
      <c r="M18" s="2" t="e">
        <f t="shared" si="3"/>
        <v>#NAME?</v>
      </c>
      <c r="N18" s="20"/>
      <c r="O18" s="2" t="e">
        <f t="shared" si="4"/>
        <v>#NAME?</v>
      </c>
      <c r="P18" s="7"/>
    </row>
    <row r="19" spans="1:16" x14ac:dyDescent="0.25">
      <c r="A19" s="7">
        <v>10020</v>
      </c>
      <c r="B19" s="2" t="s">
        <v>47</v>
      </c>
      <c r="C19" s="7"/>
      <c r="D19" s="7"/>
      <c r="E19" s="7"/>
      <c r="F19" s="2" t="e">
        <f t="shared" si="0"/>
        <v>#NAME?</v>
      </c>
      <c r="G19" s="1" t="s">
        <v>48</v>
      </c>
      <c r="H19" s="2" t="e">
        <f t="shared" si="1"/>
        <v>#NAME?</v>
      </c>
      <c r="I19" s="13"/>
      <c r="J19" s="1" t="s">
        <v>49</v>
      </c>
      <c r="K19" s="2" t="e">
        <f t="shared" si="2"/>
        <v>#NAME?</v>
      </c>
      <c r="L19" s="1" t="s">
        <v>808</v>
      </c>
      <c r="M19" s="2" t="e">
        <f t="shared" si="3"/>
        <v>#NAME?</v>
      </c>
      <c r="N19" s="20"/>
      <c r="O19" s="2" t="e">
        <f t="shared" si="4"/>
        <v>#NAME?</v>
      </c>
      <c r="P19" s="7"/>
    </row>
    <row r="20" spans="1:16" x14ac:dyDescent="0.25">
      <c r="A20" s="7">
        <v>10030</v>
      </c>
      <c r="B20" s="2" t="s">
        <v>809</v>
      </c>
      <c r="C20" s="7"/>
      <c r="D20" s="7"/>
      <c r="E20" s="7"/>
      <c r="F20" s="2" t="e">
        <f t="shared" si="0"/>
        <v>#NAME?</v>
      </c>
      <c r="G20" s="1" t="s">
        <v>810</v>
      </c>
      <c r="H20" s="2" t="e">
        <f t="shared" si="1"/>
        <v>#NAME?</v>
      </c>
      <c r="I20" s="13"/>
      <c r="J20" s="13" t="s">
        <v>811</v>
      </c>
      <c r="K20" s="2" t="e">
        <f t="shared" si="2"/>
        <v>#NAME?</v>
      </c>
      <c r="L20" s="1" t="s">
        <v>812</v>
      </c>
      <c r="M20" s="2" t="e">
        <f t="shared" si="3"/>
        <v>#NAME?</v>
      </c>
      <c r="N20" s="20"/>
      <c r="O20" s="2" t="e">
        <f t="shared" si="4"/>
        <v>#NAME?</v>
      </c>
      <c r="P20" s="7"/>
    </row>
    <row r="21" spans="1:16" x14ac:dyDescent="0.25">
      <c r="A21" s="7">
        <v>10040</v>
      </c>
      <c r="B21" s="2" t="s">
        <v>61</v>
      </c>
      <c r="C21" s="7"/>
      <c r="D21" s="7"/>
      <c r="E21" s="7"/>
      <c r="F21" s="2" t="e">
        <f t="shared" si="0"/>
        <v>#NAME?</v>
      </c>
      <c r="G21" s="1" t="s">
        <v>62</v>
      </c>
      <c r="H21" s="2" t="e">
        <f t="shared" si="1"/>
        <v>#NAME?</v>
      </c>
      <c r="I21" s="13"/>
      <c r="J21" s="1" t="s">
        <v>813</v>
      </c>
      <c r="K21" s="2" t="e">
        <f t="shared" si="2"/>
        <v>#NAME?</v>
      </c>
      <c r="L21" s="1"/>
      <c r="M21" s="2" t="e">
        <f t="shared" si="3"/>
        <v>#NAME?</v>
      </c>
      <c r="N21" s="20"/>
      <c r="O21" s="2" t="e">
        <f t="shared" si="4"/>
        <v>#NAME?</v>
      </c>
      <c r="P21" s="7"/>
    </row>
    <row r="22" spans="1:16" x14ac:dyDescent="0.25">
      <c r="A22" s="7">
        <v>10050</v>
      </c>
      <c r="B22" s="2" t="s">
        <v>64</v>
      </c>
      <c r="C22" s="7"/>
      <c r="D22" s="7"/>
      <c r="E22" s="7"/>
      <c r="F22" s="2" t="e">
        <f t="shared" si="0"/>
        <v>#NAME?</v>
      </c>
      <c r="G22" s="1" t="s">
        <v>65</v>
      </c>
      <c r="H22" s="2" t="e">
        <f t="shared" si="1"/>
        <v>#NAME?</v>
      </c>
      <c r="I22" s="13"/>
      <c r="J22" s="13" t="s">
        <v>814</v>
      </c>
      <c r="K22" s="2" t="e">
        <f t="shared" si="2"/>
        <v>#NAME?</v>
      </c>
      <c r="L22" s="1"/>
      <c r="M22" s="2" t="e">
        <f t="shared" si="3"/>
        <v>#NAME?</v>
      </c>
      <c r="N22" s="20"/>
      <c r="O22" s="2" t="e">
        <f t="shared" si="4"/>
        <v>#NAME?</v>
      </c>
      <c r="P22" s="7"/>
    </row>
    <row r="23" spans="1:16" x14ac:dyDescent="0.25">
      <c r="A23" s="7">
        <v>10060</v>
      </c>
      <c r="B23" s="2" t="s">
        <v>67</v>
      </c>
      <c r="C23" s="7"/>
      <c r="D23" s="7"/>
      <c r="E23" s="7"/>
      <c r="F23" s="2" t="e">
        <f t="shared" si="0"/>
        <v>#NAME?</v>
      </c>
      <c r="G23" s="1" t="s">
        <v>68</v>
      </c>
      <c r="H23" s="2" t="e">
        <f t="shared" si="1"/>
        <v>#NAME?</v>
      </c>
      <c r="I23" s="13"/>
      <c r="J23" s="13" t="s">
        <v>69</v>
      </c>
      <c r="K23" s="2" t="e">
        <f t="shared" si="2"/>
        <v>#NAME?</v>
      </c>
      <c r="L23" s="1"/>
      <c r="M23" s="2" t="e">
        <f t="shared" si="3"/>
        <v>#NAME?</v>
      </c>
      <c r="N23" s="20"/>
      <c r="O23" s="2" t="e">
        <f t="shared" si="4"/>
        <v>#NAME?</v>
      </c>
      <c r="P23" s="7"/>
    </row>
    <row r="24" spans="1:16" x14ac:dyDescent="0.25">
      <c r="A24" s="7">
        <v>10070</v>
      </c>
      <c r="B24" s="2" t="s">
        <v>70</v>
      </c>
      <c r="C24" s="7"/>
      <c r="D24" s="7"/>
      <c r="E24" s="7"/>
      <c r="F24" s="2" t="e">
        <f t="shared" si="0"/>
        <v>#NAME?</v>
      </c>
      <c r="G24" s="1" t="s">
        <v>71</v>
      </c>
      <c r="H24" s="2" t="e">
        <f t="shared" si="1"/>
        <v>#NAME?</v>
      </c>
      <c r="I24" s="13"/>
      <c r="J24" s="13" t="s">
        <v>72</v>
      </c>
      <c r="K24" s="2" t="e">
        <f t="shared" si="2"/>
        <v>#NAME?</v>
      </c>
      <c r="L24" s="1"/>
      <c r="M24" s="2" t="e">
        <f t="shared" si="3"/>
        <v>#NAME?</v>
      </c>
      <c r="N24" s="20"/>
      <c r="O24" s="2" t="e">
        <f t="shared" si="4"/>
        <v>#NAME?</v>
      </c>
      <c r="P24" s="7"/>
    </row>
    <row r="25" spans="1:16" x14ac:dyDescent="0.25">
      <c r="A25" s="7">
        <v>10080</v>
      </c>
      <c r="B25" s="2" t="s">
        <v>73</v>
      </c>
      <c r="C25" s="7"/>
      <c r="D25" s="7"/>
      <c r="E25" s="7"/>
      <c r="F25" s="2" t="e">
        <f t="shared" si="0"/>
        <v>#NAME?</v>
      </c>
      <c r="G25" s="1" t="s">
        <v>74</v>
      </c>
      <c r="H25" s="2" t="e">
        <f t="shared" si="1"/>
        <v>#NAME?</v>
      </c>
      <c r="I25" s="13"/>
      <c r="J25" s="13" t="s">
        <v>815</v>
      </c>
      <c r="K25" s="2" t="e">
        <f t="shared" si="2"/>
        <v>#NAME?</v>
      </c>
      <c r="L25" s="1"/>
      <c r="M25" s="2" t="e">
        <f t="shared" si="3"/>
        <v>#NAME?</v>
      </c>
      <c r="N25" s="20"/>
      <c r="O25" s="2" t="e">
        <f t="shared" si="4"/>
        <v>#NAME?</v>
      </c>
      <c r="P25" s="7"/>
    </row>
    <row r="26" spans="1:16" x14ac:dyDescent="0.25">
      <c r="A26" s="7">
        <v>10090</v>
      </c>
      <c r="B26" s="2" t="s">
        <v>82</v>
      </c>
      <c r="C26" s="7"/>
      <c r="D26" s="7"/>
      <c r="E26" s="7"/>
      <c r="F26" s="2" t="e">
        <f t="shared" si="0"/>
        <v>#NAME?</v>
      </c>
      <c r="G26" s="1" t="s">
        <v>83</v>
      </c>
      <c r="H26" s="2" t="e">
        <f t="shared" si="1"/>
        <v>#NAME?</v>
      </c>
      <c r="I26" s="13"/>
      <c r="J26" s="13" t="s">
        <v>816</v>
      </c>
      <c r="K26" s="2" t="e">
        <f t="shared" si="2"/>
        <v>#NAME?</v>
      </c>
      <c r="L26" s="1"/>
      <c r="M26" s="2" t="e">
        <f t="shared" si="3"/>
        <v>#NAME?</v>
      </c>
      <c r="N26" s="20"/>
      <c r="O26" s="2" t="e">
        <f t="shared" si="4"/>
        <v>#NAME?</v>
      </c>
      <c r="P26" s="7"/>
    </row>
    <row r="27" spans="1:16" x14ac:dyDescent="0.25">
      <c r="A27" s="7">
        <v>10100</v>
      </c>
      <c r="B27" s="2" t="s">
        <v>85</v>
      </c>
      <c r="C27" s="7"/>
      <c r="D27" s="7"/>
      <c r="E27" s="7"/>
      <c r="F27" s="2" t="e">
        <f t="shared" si="0"/>
        <v>#NAME?</v>
      </c>
      <c r="G27" s="1" t="s">
        <v>86</v>
      </c>
      <c r="H27" s="2" t="e">
        <f t="shared" si="1"/>
        <v>#NAME?</v>
      </c>
      <c r="I27" s="13"/>
      <c r="J27" s="13" t="s">
        <v>817</v>
      </c>
      <c r="K27" s="2" t="e">
        <f t="shared" si="2"/>
        <v>#NAME?</v>
      </c>
      <c r="L27" s="1"/>
      <c r="M27" s="2" t="e">
        <f t="shared" si="3"/>
        <v>#NAME?</v>
      </c>
      <c r="N27" s="20"/>
      <c r="O27" s="2" t="e">
        <f t="shared" si="4"/>
        <v>#NAME?</v>
      </c>
      <c r="P27" s="7"/>
    </row>
    <row r="28" spans="1:16" x14ac:dyDescent="0.25">
      <c r="A28" s="7">
        <v>10110</v>
      </c>
      <c r="B28" s="2" t="s">
        <v>92</v>
      </c>
      <c r="C28" s="7"/>
      <c r="D28" s="7"/>
      <c r="E28" s="7"/>
      <c r="F28" s="2" t="e">
        <f t="shared" si="0"/>
        <v>#NAME?</v>
      </c>
      <c r="G28" s="1" t="s">
        <v>93</v>
      </c>
      <c r="H28" s="2" t="e">
        <f t="shared" si="1"/>
        <v>#NAME?</v>
      </c>
      <c r="I28" s="13"/>
      <c r="J28" s="13" t="s">
        <v>818</v>
      </c>
      <c r="K28" s="2" t="e">
        <f t="shared" si="2"/>
        <v>#NAME?</v>
      </c>
      <c r="L28" s="13" t="s">
        <v>819</v>
      </c>
      <c r="M28" s="2" t="e">
        <f t="shared" si="3"/>
        <v>#NAME?</v>
      </c>
      <c r="N28" s="20"/>
      <c r="O28" s="2" t="e">
        <f t="shared" si="4"/>
        <v>#NAME?</v>
      </c>
      <c r="P28" s="7"/>
    </row>
    <row r="29" spans="1:16" x14ac:dyDescent="0.25">
      <c r="A29" s="7">
        <v>10120</v>
      </c>
      <c r="B29" s="2" t="s">
        <v>96</v>
      </c>
      <c r="C29" s="7"/>
      <c r="D29" s="7"/>
      <c r="E29" s="7"/>
      <c r="F29" s="2" t="e">
        <f t="shared" si="0"/>
        <v>#NAME?</v>
      </c>
      <c r="G29" s="1" t="s">
        <v>97</v>
      </c>
      <c r="H29" s="2" t="e">
        <f t="shared" si="1"/>
        <v>#NAME?</v>
      </c>
      <c r="I29" s="13"/>
      <c r="J29" s="13" t="s">
        <v>820</v>
      </c>
      <c r="K29" s="2" t="e">
        <f t="shared" si="2"/>
        <v>#NAME?</v>
      </c>
      <c r="L29" s="1" t="s">
        <v>821</v>
      </c>
      <c r="M29" s="2" t="e">
        <f t="shared" si="3"/>
        <v>#NAME?</v>
      </c>
      <c r="N29" s="20"/>
      <c r="O29" s="2" t="e">
        <f t="shared" si="4"/>
        <v>#NAME?</v>
      </c>
      <c r="P29" s="7"/>
    </row>
    <row r="30" spans="1:16" x14ac:dyDescent="0.25">
      <c r="A30" s="7">
        <v>10130</v>
      </c>
      <c r="B30" s="2" t="s">
        <v>88</v>
      </c>
      <c r="C30" s="7"/>
      <c r="D30" s="7"/>
      <c r="E30" s="7"/>
      <c r="F30" s="2" t="e">
        <f t="shared" si="0"/>
        <v>#NAME?</v>
      </c>
      <c r="G30" s="1" t="s">
        <v>89</v>
      </c>
      <c r="H30" s="2" t="e">
        <f t="shared" si="1"/>
        <v>#NAME?</v>
      </c>
      <c r="I30" s="13"/>
      <c r="J30" s="1" t="s">
        <v>822</v>
      </c>
      <c r="K30" s="2" t="e">
        <f t="shared" si="2"/>
        <v>#NAME?</v>
      </c>
      <c r="L30" s="1"/>
      <c r="M30" s="2" t="e">
        <f t="shared" si="3"/>
        <v>#NAME?</v>
      </c>
      <c r="N30" s="20"/>
      <c r="O30" s="2" t="e">
        <f t="shared" si="4"/>
        <v>#NAME?</v>
      </c>
      <c r="P30" s="7"/>
    </row>
    <row r="31" spans="1:16" x14ac:dyDescent="0.25">
      <c r="A31" s="7">
        <v>10140</v>
      </c>
      <c r="B31" s="2" t="s">
        <v>823</v>
      </c>
      <c r="C31" s="7"/>
      <c r="D31" s="7"/>
      <c r="E31" s="7"/>
      <c r="F31" s="2" t="e">
        <f t="shared" si="0"/>
        <v>#NAME?</v>
      </c>
      <c r="G31" s="1" t="s">
        <v>103</v>
      </c>
      <c r="H31" s="2" t="e">
        <f t="shared" si="1"/>
        <v>#NAME?</v>
      </c>
      <c r="I31" s="13"/>
      <c r="J31" s="13" t="s">
        <v>824</v>
      </c>
      <c r="K31" s="2" t="e">
        <f t="shared" si="2"/>
        <v>#NAME?</v>
      </c>
      <c r="L31" s="1"/>
      <c r="M31" s="2" t="e">
        <f t="shared" si="3"/>
        <v>#NAME?</v>
      </c>
      <c r="N31" s="20"/>
      <c r="O31" s="2" t="e">
        <f t="shared" si="4"/>
        <v>#NAME?</v>
      </c>
      <c r="P31" s="7"/>
    </row>
    <row r="32" spans="1:16" x14ac:dyDescent="0.25">
      <c r="A32" s="7">
        <v>10150</v>
      </c>
      <c r="B32" s="2" t="s">
        <v>108</v>
      </c>
      <c r="C32" s="7"/>
      <c r="D32" s="7"/>
      <c r="E32" s="7"/>
      <c r="F32" s="2" t="e">
        <f t="shared" si="0"/>
        <v>#NAME?</v>
      </c>
      <c r="G32" s="1" t="s">
        <v>109</v>
      </c>
      <c r="H32" s="2" t="e">
        <f t="shared" si="1"/>
        <v>#NAME?</v>
      </c>
      <c r="I32" s="13"/>
      <c r="J32" s="1" t="s">
        <v>825</v>
      </c>
      <c r="K32" s="2" t="e">
        <f t="shared" si="2"/>
        <v>#NAME?</v>
      </c>
      <c r="L32" s="1"/>
      <c r="M32" s="2" t="e">
        <f t="shared" si="3"/>
        <v>#NAME?</v>
      </c>
      <c r="N32" s="20"/>
      <c r="O32" s="2" t="e">
        <f t="shared" si="4"/>
        <v>#NAME?</v>
      </c>
      <c r="P32" s="7"/>
    </row>
    <row r="33" spans="1:16" x14ac:dyDescent="0.25">
      <c r="A33" s="7">
        <v>10160</v>
      </c>
      <c r="B33" s="2" t="s">
        <v>181</v>
      </c>
      <c r="C33" s="7"/>
      <c r="D33" s="7"/>
      <c r="E33" s="7"/>
      <c r="F33" s="2" t="e">
        <f t="shared" si="0"/>
        <v>#NAME?</v>
      </c>
      <c r="G33" s="1" t="s">
        <v>182</v>
      </c>
      <c r="H33" s="2" t="e">
        <f t="shared" si="1"/>
        <v>#NAME?</v>
      </c>
      <c r="I33" s="13"/>
      <c r="J33" s="13" t="s">
        <v>826</v>
      </c>
      <c r="K33" s="2" t="e">
        <f t="shared" si="2"/>
        <v>#NAME?</v>
      </c>
      <c r="L33" s="1"/>
      <c r="M33" s="2" t="e">
        <f t="shared" si="3"/>
        <v>#NAME?</v>
      </c>
      <c r="N33" s="20"/>
      <c r="O33" s="2" t="e">
        <f t="shared" si="4"/>
        <v>#NAME?</v>
      </c>
      <c r="P33" s="7"/>
    </row>
    <row r="34" spans="1:16" x14ac:dyDescent="0.25">
      <c r="A34" s="7">
        <v>10170</v>
      </c>
      <c r="B34" s="2" t="s">
        <v>185</v>
      </c>
      <c r="C34" s="7"/>
      <c r="D34" s="7"/>
      <c r="E34" s="7"/>
      <c r="F34" s="2" t="e">
        <f t="shared" si="0"/>
        <v>#NAME?</v>
      </c>
      <c r="G34" s="1" t="s">
        <v>186</v>
      </c>
      <c r="H34" s="2" t="e">
        <f t="shared" si="1"/>
        <v>#NAME?</v>
      </c>
      <c r="I34" s="13"/>
      <c r="J34" s="1" t="s">
        <v>827</v>
      </c>
      <c r="K34" s="2" t="e">
        <f t="shared" si="2"/>
        <v>#NAME?</v>
      </c>
      <c r="L34" s="1"/>
      <c r="M34" s="2" t="e">
        <f t="shared" si="3"/>
        <v>#NAME?</v>
      </c>
      <c r="N34" s="20"/>
      <c r="O34" s="2" t="e">
        <f t="shared" si="4"/>
        <v>#NAME?</v>
      </c>
      <c r="P34" s="7"/>
    </row>
    <row r="35" spans="1:16" ht="28.8" x14ac:dyDescent="0.25">
      <c r="A35" s="7">
        <v>10180</v>
      </c>
      <c r="B35" s="2" t="s">
        <v>188</v>
      </c>
      <c r="C35" s="7"/>
      <c r="D35" s="7"/>
      <c r="E35" s="7"/>
      <c r="F35" s="2" t="e">
        <f t="shared" si="0"/>
        <v>#NAME?</v>
      </c>
      <c r="G35" s="1" t="s">
        <v>189</v>
      </c>
      <c r="H35" s="2" t="e">
        <f t="shared" si="1"/>
        <v>#NAME?</v>
      </c>
      <c r="I35" s="13"/>
      <c r="J35" s="1" t="s">
        <v>828</v>
      </c>
      <c r="K35" s="2" t="e">
        <f t="shared" si="2"/>
        <v>#NAME?</v>
      </c>
      <c r="L35" s="13" t="s">
        <v>829</v>
      </c>
      <c r="M35" s="2" t="e">
        <f t="shared" si="3"/>
        <v>#NAME?</v>
      </c>
      <c r="N35" s="20"/>
      <c r="O35" s="2" t="e">
        <f t="shared" si="4"/>
        <v>#NAME?</v>
      </c>
      <c r="P35" s="7"/>
    </row>
    <row r="36" spans="1:16" ht="28.8" x14ac:dyDescent="0.25">
      <c r="A36" s="7">
        <v>10190</v>
      </c>
      <c r="B36" s="2" t="s">
        <v>830</v>
      </c>
      <c r="C36" s="7"/>
      <c r="D36" s="7"/>
      <c r="E36" s="7"/>
      <c r="F36" s="2" t="e">
        <f t="shared" si="0"/>
        <v>#NAME?</v>
      </c>
      <c r="G36" s="1" t="s">
        <v>831</v>
      </c>
      <c r="H36" s="2" t="e">
        <f t="shared" si="1"/>
        <v>#NAME?</v>
      </c>
      <c r="I36" s="13"/>
      <c r="J36" s="1" t="s">
        <v>832</v>
      </c>
      <c r="K36" s="2" t="e">
        <f t="shared" si="2"/>
        <v>#NAME?</v>
      </c>
      <c r="L36" s="1"/>
      <c r="M36" s="2" t="e">
        <f t="shared" si="3"/>
        <v>#NAME?</v>
      </c>
      <c r="N36" s="20"/>
      <c r="O36" s="2" t="e">
        <f t="shared" si="4"/>
        <v>#NAME?</v>
      </c>
      <c r="P36" s="7"/>
    </row>
    <row r="37" spans="1:16" x14ac:dyDescent="0.25">
      <c r="A37" s="7">
        <v>10200</v>
      </c>
      <c r="B37" s="2" t="s">
        <v>191</v>
      </c>
      <c r="C37" s="7"/>
      <c r="D37" s="7"/>
      <c r="E37" s="7"/>
      <c r="F37" s="2" t="e">
        <f t="shared" si="0"/>
        <v>#NAME?</v>
      </c>
      <c r="G37" s="1" t="s">
        <v>192</v>
      </c>
      <c r="H37" s="2" t="e">
        <f t="shared" si="1"/>
        <v>#NAME?</v>
      </c>
      <c r="I37" s="13"/>
      <c r="J37" s="1" t="s">
        <v>833</v>
      </c>
      <c r="K37" s="2" t="e">
        <f t="shared" si="2"/>
        <v>#NAME?</v>
      </c>
      <c r="L37" s="1"/>
      <c r="M37" s="2" t="e">
        <f t="shared" si="3"/>
        <v>#NAME?</v>
      </c>
      <c r="N37" s="20"/>
      <c r="O37" s="2" t="e">
        <f t="shared" si="4"/>
        <v>#NAME?</v>
      </c>
      <c r="P37" s="7"/>
    </row>
    <row r="38" spans="1:16" x14ac:dyDescent="0.25">
      <c r="A38" s="7">
        <v>10210</v>
      </c>
      <c r="B38" s="2" t="s">
        <v>195</v>
      </c>
      <c r="C38" s="7"/>
      <c r="D38" s="7"/>
      <c r="E38" s="7"/>
      <c r="F38" s="2" t="e">
        <f t="shared" si="0"/>
        <v>#NAME?</v>
      </c>
      <c r="G38" s="1" t="s">
        <v>196</v>
      </c>
      <c r="H38" s="2" t="e">
        <f t="shared" ref="H38:H69" si="6">ReplaceValuesUDF(G38,"Sheet2")</f>
        <v>#NAME?</v>
      </c>
      <c r="I38" s="13"/>
      <c r="J38" s="1" t="s">
        <v>197</v>
      </c>
      <c r="K38" s="2" t="e">
        <f t="shared" ref="K38:K69" si="7">ReplaceValuesUDF(J38,"Sheet2")</f>
        <v>#NAME?</v>
      </c>
      <c r="L38" s="1"/>
      <c r="M38" s="2" t="e">
        <f t="shared" si="3"/>
        <v>#NAME?</v>
      </c>
      <c r="N38" s="20"/>
      <c r="O38" s="2" t="e">
        <f t="shared" si="4"/>
        <v>#NAME?</v>
      </c>
      <c r="P38" s="7"/>
    </row>
    <row r="39" spans="1:16" x14ac:dyDescent="0.25">
      <c r="A39" s="7">
        <v>10220</v>
      </c>
      <c r="B39" s="4" t="s">
        <v>202</v>
      </c>
      <c r="C39" s="7"/>
      <c r="D39" s="7"/>
      <c r="E39" s="7"/>
      <c r="F39" s="2" t="e">
        <f t="shared" si="0"/>
        <v>#NAME?</v>
      </c>
      <c r="G39" s="1" t="s">
        <v>203</v>
      </c>
      <c r="H39" s="2" t="e">
        <f t="shared" si="6"/>
        <v>#NAME?</v>
      </c>
      <c r="I39" s="13"/>
      <c r="J39" s="1" t="s">
        <v>834</v>
      </c>
      <c r="K39" s="2" t="e">
        <f t="shared" si="7"/>
        <v>#NAME?</v>
      </c>
      <c r="L39" s="1"/>
      <c r="M39" s="2" t="e">
        <f t="shared" si="3"/>
        <v>#NAME?</v>
      </c>
      <c r="N39" s="20"/>
      <c r="O39" s="2" t="e">
        <f t="shared" si="4"/>
        <v>#NAME?</v>
      </c>
      <c r="P39" s="7"/>
    </row>
    <row r="40" spans="1:16" x14ac:dyDescent="0.25">
      <c r="A40" s="7">
        <v>10230</v>
      </c>
      <c r="B40" s="2" t="s">
        <v>206</v>
      </c>
      <c r="C40" s="7"/>
      <c r="D40" s="7"/>
      <c r="E40" s="7"/>
      <c r="F40" s="2" t="e">
        <f t="shared" si="0"/>
        <v>#NAME?</v>
      </c>
      <c r="G40" s="1" t="s">
        <v>207</v>
      </c>
      <c r="H40" s="2" t="e">
        <f t="shared" si="6"/>
        <v>#NAME?</v>
      </c>
      <c r="I40" s="13"/>
      <c r="J40" s="1" t="s">
        <v>835</v>
      </c>
      <c r="K40" s="2" t="e">
        <f t="shared" si="7"/>
        <v>#NAME?</v>
      </c>
      <c r="L40" s="1"/>
      <c r="M40" s="2" t="e">
        <f t="shared" si="3"/>
        <v>#NAME?</v>
      </c>
      <c r="N40" s="20"/>
      <c r="O40" s="2" t="e">
        <f t="shared" si="4"/>
        <v>#NAME?</v>
      </c>
      <c r="P40" s="7"/>
    </row>
    <row r="41" spans="1:16" x14ac:dyDescent="0.25">
      <c r="A41" s="7">
        <v>10240</v>
      </c>
      <c r="B41" s="2" t="s">
        <v>836</v>
      </c>
      <c r="C41" s="7"/>
      <c r="D41" s="7"/>
      <c r="E41" s="7"/>
      <c r="F41" s="2" t="e">
        <f t="shared" si="0"/>
        <v>#NAME?</v>
      </c>
      <c r="G41" s="1" t="s">
        <v>217</v>
      </c>
      <c r="H41" s="2" t="e">
        <f t="shared" si="6"/>
        <v>#NAME?</v>
      </c>
      <c r="I41" s="13"/>
      <c r="J41" s="1" t="s">
        <v>837</v>
      </c>
      <c r="K41" s="2" t="e">
        <f t="shared" si="7"/>
        <v>#NAME?</v>
      </c>
      <c r="L41" s="1"/>
      <c r="M41" s="2" t="e">
        <f t="shared" si="3"/>
        <v>#NAME?</v>
      </c>
      <c r="N41" s="20"/>
      <c r="O41" s="2" t="e">
        <f t="shared" si="4"/>
        <v>#NAME?</v>
      </c>
      <c r="P41" s="7"/>
    </row>
    <row r="42" spans="1:16" x14ac:dyDescent="0.25">
      <c r="A42" s="7">
        <v>10250</v>
      </c>
      <c r="B42" s="2" t="s">
        <v>238</v>
      </c>
      <c r="C42" s="7"/>
      <c r="D42" s="7"/>
      <c r="E42" s="7"/>
      <c r="F42" s="2" t="e">
        <f t="shared" si="0"/>
        <v>#NAME?</v>
      </c>
      <c r="G42" s="1" t="s">
        <v>239</v>
      </c>
      <c r="H42" s="2" t="e">
        <f t="shared" si="6"/>
        <v>#NAME?</v>
      </c>
      <c r="I42" s="13"/>
      <c r="J42" s="13" t="s">
        <v>240</v>
      </c>
      <c r="K42" s="2" t="e">
        <f t="shared" si="7"/>
        <v>#NAME?</v>
      </c>
      <c r="L42" s="1"/>
      <c r="M42" s="2" t="e">
        <f t="shared" si="3"/>
        <v>#NAME?</v>
      </c>
      <c r="N42" s="20"/>
      <c r="O42" s="2" t="e">
        <f t="shared" si="4"/>
        <v>#NAME?</v>
      </c>
      <c r="P42" s="7"/>
    </row>
    <row r="43" spans="1:16" ht="28.8" x14ac:dyDescent="0.25">
      <c r="A43" s="7">
        <v>10260</v>
      </c>
      <c r="B43" s="2" t="s">
        <v>838</v>
      </c>
      <c r="C43" s="7"/>
      <c r="D43" s="7"/>
      <c r="E43" s="7"/>
      <c r="F43" s="2" t="e">
        <f t="shared" si="0"/>
        <v>#NAME?</v>
      </c>
      <c r="G43" s="1" t="s">
        <v>839</v>
      </c>
      <c r="H43" s="2" t="e">
        <f t="shared" si="6"/>
        <v>#NAME?</v>
      </c>
      <c r="I43" s="13"/>
      <c r="J43" s="1" t="s">
        <v>840</v>
      </c>
      <c r="K43" s="2" t="e">
        <f t="shared" si="7"/>
        <v>#NAME?</v>
      </c>
      <c r="L43" s="1"/>
      <c r="M43" s="2" t="e">
        <f t="shared" si="3"/>
        <v>#NAME?</v>
      </c>
      <c r="N43" s="20"/>
      <c r="O43" s="2" t="e">
        <f t="shared" si="4"/>
        <v>#NAME?</v>
      </c>
      <c r="P43" s="7"/>
    </row>
    <row r="44" spans="1:16" x14ac:dyDescent="0.25">
      <c r="A44" s="7">
        <v>10270</v>
      </c>
      <c r="B44" s="2" t="s">
        <v>841</v>
      </c>
      <c r="C44" s="7"/>
      <c r="D44" s="7"/>
      <c r="E44" s="7"/>
      <c r="F44" s="2" t="e">
        <f t="shared" si="0"/>
        <v>#NAME?</v>
      </c>
      <c r="G44" s="1" t="s">
        <v>842</v>
      </c>
      <c r="H44" s="2" t="e">
        <f t="shared" si="6"/>
        <v>#NAME?</v>
      </c>
      <c r="I44" s="13"/>
      <c r="J44" s="1" t="s">
        <v>843</v>
      </c>
      <c r="K44" s="2" t="e">
        <f t="shared" si="7"/>
        <v>#NAME?</v>
      </c>
      <c r="L44" s="1"/>
      <c r="M44" s="2" t="e">
        <f t="shared" si="3"/>
        <v>#NAME?</v>
      </c>
      <c r="N44" s="20"/>
      <c r="O44" s="2" t="e">
        <f t="shared" si="4"/>
        <v>#NAME?</v>
      </c>
      <c r="P44" s="7"/>
    </row>
    <row r="45" spans="1:16" ht="28.8" x14ac:dyDescent="0.25">
      <c r="A45" s="7">
        <v>10280</v>
      </c>
      <c r="B45" s="2" t="s">
        <v>244</v>
      </c>
      <c r="C45" s="7"/>
      <c r="D45" s="7"/>
      <c r="E45" s="7"/>
      <c r="F45" s="2" t="e">
        <f t="shared" si="0"/>
        <v>#NAME?</v>
      </c>
      <c r="G45" s="1" t="s">
        <v>844</v>
      </c>
      <c r="H45" s="2" t="e">
        <f t="shared" si="6"/>
        <v>#NAME?</v>
      </c>
      <c r="I45" s="13"/>
      <c r="J45" s="1" t="s">
        <v>845</v>
      </c>
      <c r="K45" s="2" t="e">
        <f t="shared" si="7"/>
        <v>#NAME?</v>
      </c>
      <c r="L45" s="1"/>
      <c r="M45" s="2" t="e">
        <f t="shared" si="3"/>
        <v>#NAME?</v>
      </c>
      <c r="N45" s="20"/>
      <c r="O45" s="2" t="e">
        <f t="shared" si="4"/>
        <v>#NAME?</v>
      </c>
      <c r="P45" s="7"/>
    </row>
    <row r="46" spans="1:16" ht="28.8" x14ac:dyDescent="0.25">
      <c r="A46" s="7">
        <v>10290</v>
      </c>
      <c r="B46" s="2" t="s">
        <v>247</v>
      </c>
      <c r="C46" s="7"/>
      <c r="D46" s="7"/>
      <c r="E46" s="7"/>
      <c r="F46" s="2" t="e">
        <f t="shared" si="0"/>
        <v>#NAME?</v>
      </c>
      <c r="G46" s="1" t="s">
        <v>846</v>
      </c>
      <c r="H46" s="2" t="e">
        <f t="shared" si="6"/>
        <v>#NAME?</v>
      </c>
      <c r="I46" s="13"/>
      <c r="J46" s="1" t="s">
        <v>847</v>
      </c>
      <c r="K46" s="2" t="e">
        <f t="shared" si="7"/>
        <v>#NAME?</v>
      </c>
      <c r="L46" s="1"/>
      <c r="M46" s="2" t="e">
        <f t="shared" si="3"/>
        <v>#NAME?</v>
      </c>
      <c r="N46" s="20"/>
      <c r="O46" s="2" t="e">
        <f t="shared" si="4"/>
        <v>#NAME?</v>
      </c>
      <c r="P46" s="7"/>
    </row>
    <row r="47" spans="1:16" x14ac:dyDescent="0.25">
      <c r="A47" s="7">
        <v>10300</v>
      </c>
      <c r="B47" s="2" t="s">
        <v>251</v>
      </c>
      <c r="C47" s="7"/>
      <c r="D47" s="7"/>
      <c r="E47" s="7"/>
      <c r="F47" s="2"/>
      <c r="G47" s="1" t="s">
        <v>252</v>
      </c>
      <c r="H47" s="2" t="e">
        <f t="shared" si="6"/>
        <v>#NAME?</v>
      </c>
      <c r="I47" s="13"/>
      <c r="J47" s="1" t="s">
        <v>848</v>
      </c>
      <c r="K47" s="2" t="e">
        <f t="shared" si="7"/>
        <v>#NAME?</v>
      </c>
      <c r="L47" s="1"/>
      <c r="M47" s="2"/>
      <c r="N47" s="20"/>
      <c r="O47" s="2"/>
      <c r="P47" s="7"/>
    </row>
    <row r="48" spans="1:16" x14ac:dyDescent="0.25">
      <c r="A48" s="7">
        <v>10310</v>
      </c>
      <c r="B48" s="2" t="s">
        <v>254</v>
      </c>
      <c r="C48" s="7"/>
      <c r="D48" s="7"/>
      <c r="E48" s="7"/>
      <c r="F48" s="2"/>
      <c r="G48" s="1" t="s">
        <v>255</v>
      </c>
      <c r="H48" s="2" t="e">
        <f t="shared" si="6"/>
        <v>#NAME?</v>
      </c>
      <c r="I48" s="13"/>
      <c r="J48" s="1" t="s">
        <v>849</v>
      </c>
      <c r="K48" s="2" t="e">
        <f t="shared" si="7"/>
        <v>#NAME?</v>
      </c>
      <c r="L48" s="1"/>
      <c r="M48" s="2"/>
      <c r="N48" s="20"/>
      <c r="O48" s="2"/>
      <c r="P48" s="7"/>
    </row>
    <row r="49" spans="1:16" x14ac:dyDescent="0.25">
      <c r="A49" s="7">
        <v>10320</v>
      </c>
      <c r="B49" s="2" t="s">
        <v>257</v>
      </c>
      <c r="C49" s="7"/>
      <c r="D49" s="7"/>
      <c r="E49" s="7"/>
      <c r="F49" s="2"/>
      <c r="G49" s="1" t="s">
        <v>258</v>
      </c>
      <c r="H49" s="2" t="e">
        <f t="shared" si="6"/>
        <v>#NAME?</v>
      </c>
      <c r="I49" s="13"/>
      <c r="J49" s="1" t="s">
        <v>850</v>
      </c>
      <c r="K49" s="2" t="e">
        <f t="shared" si="7"/>
        <v>#NAME?</v>
      </c>
      <c r="L49" s="1"/>
      <c r="M49" s="2"/>
      <c r="N49" s="20"/>
      <c r="O49" s="2"/>
      <c r="P49" s="7"/>
    </row>
    <row r="50" spans="1:16" x14ac:dyDescent="0.25">
      <c r="A50" s="7">
        <v>10330</v>
      </c>
      <c r="B50" s="2" t="s">
        <v>260</v>
      </c>
      <c r="C50" s="7"/>
      <c r="D50" s="7"/>
      <c r="E50" s="7"/>
      <c r="F50" s="2"/>
      <c r="G50" s="1" t="s">
        <v>261</v>
      </c>
      <c r="H50" s="2" t="e">
        <f t="shared" si="6"/>
        <v>#NAME?</v>
      </c>
      <c r="I50" s="13"/>
      <c r="J50" s="1" t="s">
        <v>851</v>
      </c>
      <c r="K50" s="2" t="e">
        <f t="shared" si="7"/>
        <v>#NAME?</v>
      </c>
      <c r="L50" s="1"/>
      <c r="M50" s="2"/>
      <c r="N50" s="20"/>
      <c r="O50" s="2"/>
      <c r="P50" s="7"/>
    </row>
    <row r="51" spans="1:16" x14ac:dyDescent="0.25">
      <c r="A51" s="7">
        <v>10340</v>
      </c>
      <c r="B51" s="2" t="s">
        <v>263</v>
      </c>
      <c r="C51" s="7"/>
      <c r="D51" s="7"/>
      <c r="E51" s="7"/>
      <c r="F51" s="2"/>
      <c r="G51" s="1" t="s">
        <v>264</v>
      </c>
      <c r="H51" s="2" t="e">
        <f t="shared" si="6"/>
        <v>#NAME?</v>
      </c>
      <c r="I51" s="13"/>
      <c r="J51" s="1" t="s">
        <v>852</v>
      </c>
      <c r="K51" s="2" t="e">
        <f t="shared" si="7"/>
        <v>#NAME?</v>
      </c>
      <c r="L51" s="1"/>
      <c r="M51" s="2"/>
      <c r="N51" s="20"/>
      <c r="O51" s="2"/>
      <c r="P51" s="7"/>
    </row>
    <row r="52" spans="1:16" ht="28.8" x14ac:dyDescent="0.25">
      <c r="A52" s="7">
        <v>10350</v>
      </c>
      <c r="B52" s="2" t="s">
        <v>266</v>
      </c>
      <c r="C52" s="7"/>
      <c r="D52" s="7"/>
      <c r="E52" s="7"/>
      <c r="F52" s="2" t="e">
        <f>ReplaceValuesUDF(E52,"Sheet2")</f>
        <v>#NAME?</v>
      </c>
      <c r="G52" s="1" t="s">
        <v>267</v>
      </c>
      <c r="H52" s="2" t="e">
        <f t="shared" si="6"/>
        <v>#NAME?</v>
      </c>
      <c r="I52" s="13"/>
      <c r="J52" s="1" t="s">
        <v>853</v>
      </c>
      <c r="K52" s="2" t="e">
        <f t="shared" si="7"/>
        <v>#NAME?</v>
      </c>
      <c r="L52" s="1" t="s">
        <v>854</v>
      </c>
      <c r="M52" s="2" t="e">
        <f>ReplaceValuesUDF(L52,"Sheet2")</f>
        <v>#NAME?</v>
      </c>
      <c r="N52" s="20"/>
      <c r="O52" s="2" t="e">
        <f>ReplaceValuesUDF(N52,"Sheet2")</f>
        <v>#NAME?</v>
      </c>
      <c r="P52" s="7"/>
    </row>
    <row r="53" spans="1:16" ht="28.8" x14ac:dyDescent="0.25">
      <c r="A53" s="7">
        <v>10360</v>
      </c>
      <c r="B53" s="2" t="s">
        <v>270</v>
      </c>
      <c r="C53" s="7"/>
      <c r="D53" s="7"/>
      <c r="E53" s="7"/>
      <c r="F53" s="2"/>
      <c r="G53" s="1" t="s">
        <v>855</v>
      </c>
      <c r="H53" s="2" t="e">
        <f t="shared" si="6"/>
        <v>#NAME?</v>
      </c>
      <c r="I53" s="13"/>
      <c r="J53" s="1" t="s">
        <v>856</v>
      </c>
      <c r="K53" s="2" t="e">
        <f t="shared" si="7"/>
        <v>#NAME?</v>
      </c>
      <c r="L53" s="1"/>
      <c r="M53" s="2"/>
      <c r="N53" s="20"/>
      <c r="O53" s="2"/>
      <c r="P53" s="7"/>
    </row>
    <row r="54" spans="1:16" x14ac:dyDescent="0.25">
      <c r="A54" s="7">
        <v>10370</v>
      </c>
      <c r="B54" s="2" t="s">
        <v>273</v>
      </c>
      <c r="C54" s="7"/>
      <c r="D54" s="7"/>
      <c r="E54" s="7"/>
      <c r="F54" s="2" t="e">
        <f t="shared" ref="F54:F63" si="8">ReplaceValuesUDF(E54,"Sheet2")</f>
        <v>#NAME?</v>
      </c>
      <c r="G54" s="1" t="s">
        <v>274</v>
      </c>
      <c r="H54" s="2" t="e">
        <f t="shared" si="6"/>
        <v>#NAME?</v>
      </c>
      <c r="I54" s="13"/>
      <c r="J54" s="1" t="s">
        <v>275</v>
      </c>
      <c r="K54" s="2" t="e">
        <f t="shared" si="7"/>
        <v>#NAME?</v>
      </c>
      <c r="L54" s="1"/>
      <c r="M54" s="2" t="e">
        <f t="shared" ref="M54:M63" si="9">ReplaceValuesUDF(L54,"Sheet2")</f>
        <v>#NAME?</v>
      </c>
      <c r="N54" s="20"/>
      <c r="O54" s="2" t="e">
        <f t="shared" ref="O54:O63" si="10">ReplaceValuesUDF(N54,"Sheet2")</f>
        <v>#NAME?</v>
      </c>
      <c r="P54" s="7"/>
    </row>
    <row r="55" spans="1:16" ht="28.8" x14ac:dyDescent="0.25">
      <c r="A55" s="7">
        <v>10380</v>
      </c>
      <c r="B55" s="2" t="s">
        <v>276</v>
      </c>
      <c r="C55" s="7"/>
      <c r="D55" s="7"/>
      <c r="E55" s="7"/>
      <c r="F55" s="2" t="e">
        <f t="shared" si="8"/>
        <v>#NAME?</v>
      </c>
      <c r="G55" s="1" t="s">
        <v>277</v>
      </c>
      <c r="H55" s="2" t="e">
        <f t="shared" si="6"/>
        <v>#NAME?</v>
      </c>
      <c r="I55" s="13"/>
      <c r="J55" s="1" t="s">
        <v>857</v>
      </c>
      <c r="K55" s="2" t="e">
        <f t="shared" si="7"/>
        <v>#NAME?</v>
      </c>
      <c r="L55" s="1"/>
      <c r="M55" s="2" t="e">
        <f t="shared" si="9"/>
        <v>#NAME?</v>
      </c>
      <c r="N55" s="20"/>
      <c r="O55" s="2" t="e">
        <f t="shared" si="10"/>
        <v>#NAME?</v>
      </c>
      <c r="P55" s="7"/>
    </row>
    <row r="56" spans="1:16" x14ac:dyDescent="0.25">
      <c r="A56" s="7">
        <v>10390</v>
      </c>
      <c r="B56" s="2" t="s">
        <v>858</v>
      </c>
      <c r="C56" s="7"/>
      <c r="D56" s="7"/>
      <c r="E56" s="7" t="s">
        <v>859</v>
      </c>
      <c r="F56" s="2" t="e">
        <f t="shared" si="8"/>
        <v>#NAME?</v>
      </c>
      <c r="G56" s="1" t="s">
        <v>859</v>
      </c>
      <c r="H56" s="2" t="e">
        <f t="shared" si="6"/>
        <v>#NAME?</v>
      </c>
      <c r="I56" s="13"/>
      <c r="J56" s="1" t="s">
        <v>860</v>
      </c>
      <c r="K56" s="2" t="e">
        <f t="shared" si="7"/>
        <v>#NAME?</v>
      </c>
      <c r="L56" s="1"/>
      <c r="M56" s="2" t="e">
        <f t="shared" si="9"/>
        <v>#NAME?</v>
      </c>
      <c r="N56" s="20"/>
      <c r="O56" s="2" t="e">
        <f t="shared" si="10"/>
        <v>#NAME?</v>
      </c>
      <c r="P56" s="7"/>
    </row>
    <row r="57" spans="1:16" ht="28.8" x14ac:dyDescent="0.25">
      <c r="A57" s="7">
        <v>90010</v>
      </c>
      <c r="B57" s="2" t="s">
        <v>292</v>
      </c>
      <c r="C57" s="7">
        <v>1010</v>
      </c>
      <c r="D57" s="7"/>
      <c r="E57" s="7" t="s">
        <v>861</v>
      </c>
      <c r="F57" s="2" t="e">
        <f t="shared" si="8"/>
        <v>#NAME?</v>
      </c>
      <c r="G57" s="1" t="s">
        <v>42</v>
      </c>
      <c r="H57" s="2" t="e">
        <f t="shared" si="6"/>
        <v>#NAME?</v>
      </c>
      <c r="I57" s="7"/>
      <c r="J57" s="2"/>
      <c r="K57" s="2" t="e">
        <f t="shared" si="7"/>
        <v>#NAME?</v>
      </c>
      <c r="L57" s="2"/>
      <c r="M57" s="2" t="e">
        <f t="shared" si="9"/>
        <v>#NAME?</v>
      </c>
      <c r="N57" s="20"/>
      <c r="O57" s="2" t="e">
        <f t="shared" si="10"/>
        <v>#NAME?</v>
      </c>
      <c r="P57" s="20"/>
    </row>
    <row r="58" spans="1:16" ht="28.8" x14ac:dyDescent="0.25">
      <c r="A58" s="7">
        <v>90020</v>
      </c>
      <c r="B58" s="2" t="s">
        <v>295</v>
      </c>
      <c r="C58" s="7">
        <v>1020</v>
      </c>
      <c r="D58" s="7"/>
      <c r="E58" s="7" t="s">
        <v>862</v>
      </c>
      <c r="F58" s="2" t="e">
        <f t="shared" si="8"/>
        <v>#NAME?</v>
      </c>
      <c r="G58" s="13" t="s">
        <v>863</v>
      </c>
      <c r="H58" s="2" t="e">
        <f t="shared" si="6"/>
        <v>#NAME?</v>
      </c>
      <c r="I58" s="7"/>
      <c r="J58" s="2"/>
      <c r="K58" s="2" t="e">
        <f t="shared" si="7"/>
        <v>#NAME?</v>
      </c>
      <c r="L58" s="2"/>
      <c r="M58" s="2" t="e">
        <f t="shared" si="9"/>
        <v>#NAME?</v>
      </c>
      <c r="N58" s="20"/>
      <c r="O58" s="2" t="e">
        <f t="shared" si="10"/>
        <v>#NAME?</v>
      </c>
      <c r="P58" s="20"/>
    </row>
    <row r="59" spans="1:16" ht="28.8" x14ac:dyDescent="0.25">
      <c r="A59" s="7">
        <v>90030</v>
      </c>
      <c r="B59" s="2" t="s">
        <v>297</v>
      </c>
      <c r="C59" s="7">
        <v>1030</v>
      </c>
      <c r="D59" s="7"/>
      <c r="E59" s="7" t="s">
        <v>86</v>
      </c>
      <c r="F59" s="2" t="e">
        <f t="shared" si="8"/>
        <v>#NAME?</v>
      </c>
      <c r="G59" s="13" t="s">
        <v>299</v>
      </c>
      <c r="H59" s="2" t="e">
        <f t="shared" si="6"/>
        <v>#NAME?</v>
      </c>
      <c r="I59" s="7"/>
      <c r="J59" s="2"/>
      <c r="K59" s="2" t="e">
        <f t="shared" si="7"/>
        <v>#NAME?</v>
      </c>
      <c r="L59" s="2"/>
      <c r="M59" s="2" t="e">
        <f t="shared" si="9"/>
        <v>#NAME?</v>
      </c>
      <c r="N59" s="20"/>
      <c r="O59" s="2" t="e">
        <f t="shared" si="10"/>
        <v>#NAME?</v>
      </c>
      <c r="P59" s="20"/>
    </row>
    <row r="60" spans="1:16" ht="28.8" x14ac:dyDescent="0.25">
      <c r="A60" s="7">
        <v>90040</v>
      </c>
      <c r="B60" s="2" t="s">
        <v>300</v>
      </c>
      <c r="C60" s="7">
        <v>1040</v>
      </c>
      <c r="D60" s="7"/>
      <c r="E60" s="7" t="s">
        <v>299</v>
      </c>
      <c r="F60" s="2" t="e">
        <f t="shared" si="8"/>
        <v>#NAME?</v>
      </c>
      <c r="G60" s="1" t="s">
        <v>864</v>
      </c>
      <c r="H60" s="2" t="e">
        <f t="shared" si="6"/>
        <v>#NAME?</v>
      </c>
      <c r="I60" s="7"/>
      <c r="J60" s="2"/>
      <c r="K60" s="2" t="e">
        <f t="shared" si="7"/>
        <v>#NAME?</v>
      </c>
      <c r="L60" s="2"/>
      <c r="M60" s="2" t="e">
        <f t="shared" si="9"/>
        <v>#NAME?</v>
      </c>
      <c r="N60" s="20"/>
      <c r="O60" s="2" t="e">
        <f t="shared" si="10"/>
        <v>#NAME?</v>
      </c>
      <c r="P60" s="20"/>
    </row>
    <row r="61" spans="1:16" x14ac:dyDescent="0.25">
      <c r="A61" s="7">
        <v>90050</v>
      </c>
      <c r="B61" s="2" t="s">
        <v>303</v>
      </c>
      <c r="C61" s="7">
        <v>1050</v>
      </c>
      <c r="D61" s="7"/>
      <c r="E61" s="7" t="s">
        <v>865</v>
      </c>
      <c r="F61" s="2" t="e">
        <f t="shared" si="8"/>
        <v>#NAME?</v>
      </c>
      <c r="G61" s="1" t="s">
        <v>305</v>
      </c>
      <c r="H61" s="2" t="e">
        <f t="shared" si="6"/>
        <v>#NAME?</v>
      </c>
      <c r="I61" s="7"/>
      <c r="J61" s="2"/>
      <c r="K61" s="2" t="e">
        <f t="shared" si="7"/>
        <v>#NAME?</v>
      </c>
      <c r="L61" s="2"/>
      <c r="M61" s="2" t="e">
        <f t="shared" si="9"/>
        <v>#NAME?</v>
      </c>
      <c r="N61" s="20"/>
      <c r="O61" s="2" t="e">
        <f t="shared" si="10"/>
        <v>#NAME?</v>
      </c>
      <c r="P61" s="20"/>
    </row>
    <row r="62" spans="1:16" ht="28.8" x14ac:dyDescent="0.25">
      <c r="A62" s="7">
        <v>90060</v>
      </c>
      <c r="B62" s="2" t="s">
        <v>306</v>
      </c>
      <c r="C62" s="7">
        <v>1060</v>
      </c>
      <c r="D62" s="7"/>
      <c r="E62" s="7" t="s">
        <v>866</v>
      </c>
      <c r="F62" s="2" t="e">
        <f t="shared" si="8"/>
        <v>#NAME?</v>
      </c>
      <c r="G62" s="1" t="s">
        <v>267</v>
      </c>
      <c r="H62" s="2" t="e">
        <f t="shared" si="6"/>
        <v>#NAME?</v>
      </c>
      <c r="I62" s="7"/>
      <c r="J62" s="2"/>
      <c r="K62" s="2" t="e">
        <f t="shared" si="7"/>
        <v>#NAME?</v>
      </c>
      <c r="L62" s="2"/>
      <c r="M62" s="2" t="e">
        <f t="shared" si="9"/>
        <v>#NAME?</v>
      </c>
      <c r="N62" s="20"/>
      <c r="O62" s="2" t="e">
        <f t="shared" si="10"/>
        <v>#NAME?</v>
      </c>
      <c r="P62" s="20"/>
    </row>
    <row r="63" spans="1:16" x14ac:dyDescent="0.25">
      <c r="A63" s="7">
        <v>90070</v>
      </c>
      <c r="B63" s="2" t="s">
        <v>308</v>
      </c>
      <c r="C63" s="7">
        <v>1070</v>
      </c>
      <c r="D63" s="7"/>
      <c r="E63" s="7" t="s">
        <v>867</v>
      </c>
      <c r="F63" s="2" t="e">
        <f t="shared" si="8"/>
        <v>#NAME?</v>
      </c>
      <c r="G63" s="1" t="s">
        <v>284</v>
      </c>
      <c r="H63" s="2" t="e">
        <f t="shared" si="6"/>
        <v>#NAME?</v>
      </c>
      <c r="I63" s="7"/>
      <c r="J63" s="2"/>
      <c r="K63" s="2" t="e">
        <f t="shared" si="7"/>
        <v>#NAME?</v>
      </c>
      <c r="L63" s="2"/>
      <c r="M63" s="2" t="e">
        <f t="shared" si="9"/>
        <v>#NAME?</v>
      </c>
      <c r="N63" s="20"/>
      <c r="O63" s="2" t="e">
        <f t="shared" si="10"/>
        <v>#NAME?</v>
      </c>
      <c r="P63" s="20"/>
    </row>
  </sheetData>
  <phoneticPr fontId="5" type="noConversion"/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H114"/>
  <sheetViews>
    <sheetView workbookViewId="0">
      <selection activeCell="C29" sqref="C29"/>
    </sheetView>
  </sheetViews>
  <sheetFormatPr defaultColWidth="9" defaultRowHeight="14.4" x14ac:dyDescent="0.25"/>
  <cols>
    <col min="1" max="1" width="25.44140625" customWidth="1"/>
  </cols>
  <sheetData>
    <row r="2" spans="1:86" x14ac:dyDescent="0.25">
      <c r="A2" t="e">
        <f>MID(#REF!,1,4)</f>
        <v>#REF!</v>
      </c>
    </row>
    <row r="7" spans="1:86" x14ac:dyDescent="0.25">
      <c r="A7" s="1" t="s">
        <v>868</v>
      </c>
      <c r="B7" t="s">
        <v>869</v>
      </c>
      <c r="C7" t="s">
        <v>870</v>
      </c>
      <c r="D7" t="s">
        <v>871</v>
      </c>
      <c r="E7" t="s">
        <v>872</v>
      </c>
      <c r="F7" t="s">
        <v>873</v>
      </c>
      <c r="G7" t="s">
        <v>874</v>
      </c>
      <c r="H7" t="s">
        <v>875</v>
      </c>
      <c r="I7" t="s">
        <v>876</v>
      </c>
      <c r="J7" t="s">
        <v>877</v>
      </c>
      <c r="K7" t="s">
        <v>878</v>
      </c>
      <c r="L7" t="s">
        <v>879</v>
      </c>
      <c r="M7" t="s">
        <v>880</v>
      </c>
      <c r="N7" t="s">
        <v>881</v>
      </c>
      <c r="O7" t="s">
        <v>882</v>
      </c>
      <c r="P7" t="s">
        <v>883</v>
      </c>
      <c r="Q7" t="s">
        <v>884</v>
      </c>
      <c r="R7" t="s">
        <v>885</v>
      </c>
      <c r="S7" t="s">
        <v>886</v>
      </c>
      <c r="T7" t="s">
        <v>887</v>
      </c>
      <c r="U7" t="s">
        <v>888</v>
      </c>
      <c r="V7" t="s">
        <v>889</v>
      </c>
      <c r="W7" t="s">
        <v>890</v>
      </c>
      <c r="X7" t="s">
        <v>891</v>
      </c>
      <c r="Y7" t="s">
        <v>892</v>
      </c>
      <c r="Z7" t="s">
        <v>893</v>
      </c>
      <c r="AA7" t="s">
        <v>894</v>
      </c>
      <c r="AB7" t="s">
        <v>895</v>
      </c>
      <c r="AC7" t="s">
        <v>896</v>
      </c>
      <c r="AD7" t="s">
        <v>897</v>
      </c>
      <c r="AE7" t="s">
        <v>898</v>
      </c>
      <c r="AF7" t="s">
        <v>899</v>
      </c>
      <c r="AG7" t="s">
        <v>900</v>
      </c>
      <c r="AH7" t="s">
        <v>901</v>
      </c>
      <c r="AI7" t="s">
        <v>902</v>
      </c>
      <c r="AJ7" t="s">
        <v>903</v>
      </c>
      <c r="AK7" t="s">
        <v>904</v>
      </c>
      <c r="AL7" t="s">
        <v>905</v>
      </c>
      <c r="AM7" t="s">
        <v>906</v>
      </c>
      <c r="AN7" t="s">
        <v>907</v>
      </c>
      <c r="AO7" t="s">
        <v>908</v>
      </c>
      <c r="AP7" t="s">
        <v>909</v>
      </c>
      <c r="AQ7" t="s">
        <v>910</v>
      </c>
      <c r="AR7" t="s">
        <v>911</v>
      </c>
      <c r="AS7" t="s">
        <v>912</v>
      </c>
      <c r="AT7" t="s">
        <v>913</v>
      </c>
      <c r="AU7" t="s">
        <v>914</v>
      </c>
      <c r="AV7" t="s">
        <v>915</v>
      </c>
      <c r="AW7" t="s">
        <v>916</v>
      </c>
      <c r="AX7" t="s">
        <v>917</v>
      </c>
      <c r="AY7" t="s">
        <v>918</v>
      </c>
      <c r="AZ7" t="s">
        <v>919</v>
      </c>
      <c r="BA7" t="s">
        <v>920</v>
      </c>
      <c r="BB7" t="s">
        <v>921</v>
      </c>
      <c r="BC7" t="s">
        <v>922</v>
      </c>
      <c r="BD7" t="s">
        <v>923</v>
      </c>
      <c r="BE7" t="s">
        <v>924</v>
      </c>
      <c r="BF7" t="s">
        <v>925</v>
      </c>
      <c r="BG7" t="s">
        <v>926</v>
      </c>
      <c r="BH7" t="s">
        <v>927</v>
      </c>
      <c r="BI7" t="s">
        <v>928</v>
      </c>
      <c r="BJ7" t="s">
        <v>929</v>
      </c>
      <c r="BK7" t="s">
        <v>930</v>
      </c>
      <c r="BL7" t="s">
        <v>931</v>
      </c>
      <c r="BM7" t="s">
        <v>932</v>
      </c>
      <c r="BN7" t="s">
        <v>933</v>
      </c>
      <c r="BO7" t="s">
        <v>934</v>
      </c>
      <c r="BP7" t="s">
        <v>935</v>
      </c>
      <c r="BQ7" t="s">
        <v>936</v>
      </c>
      <c r="BR7" t="s">
        <v>937</v>
      </c>
      <c r="BS7" t="s">
        <v>938</v>
      </c>
      <c r="BT7" t="s">
        <v>939</v>
      </c>
      <c r="BU7" t="s">
        <v>940</v>
      </c>
      <c r="BV7" t="s">
        <v>941</v>
      </c>
      <c r="BW7" t="s">
        <v>942</v>
      </c>
      <c r="BX7" t="s">
        <v>943</v>
      </c>
      <c r="BY7" t="s">
        <v>944</v>
      </c>
      <c r="BZ7" t="s">
        <v>945</v>
      </c>
      <c r="CA7" t="s">
        <v>946</v>
      </c>
      <c r="CB7" t="s">
        <v>947</v>
      </c>
      <c r="CC7" t="s">
        <v>948</v>
      </c>
      <c r="CD7" t="s">
        <v>949</v>
      </c>
      <c r="CE7" t="s">
        <v>950</v>
      </c>
      <c r="CF7" t="s">
        <v>951</v>
      </c>
      <c r="CG7" t="s">
        <v>952</v>
      </c>
      <c r="CH7" t="s">
        <v>953</v>
      </c>
    </row>
    <row r="8" spans="1:86" x14ac:dyDescent="0.25">
      <c r="A8" s="2" t="s">
        <v>893</v>
      </c>
      <c r="B8" t="s">
        <v>894</v>
      </c>
      <c r="C8" t="s">
        <v>895</v>
      </c>
      <c r="D8" t="s">
        <v>879</v>
      </c>
      <c r="E8" t="s">
        <v>954</v>
      </c>
      <c r="F8" t="s">
        <v>880</v>
      </c>
      <c r="G8" t="s">
        <v>881</v>
      </c>
      <c r="H8" t="s">
        <v>868</v>
      </c>
      <c r="I8" t="s">
        <v>869</v>
      </c>
      <c r="J8" t="s">
        <v>870</v>
      </c>
      <c r="K8" t="s">
        <v>871</v>
      </c>
      <c r="L8" t="s">
        <v>872</v>
      </c>
      <c r="M8" t="s">
        <v>873</v>
      </c>
      <c r="N8" t="s">
        <v>874</v>
      </c>
      <c r="O8" t="s">
        <v>875</v>
      </c>
      <c r="P8" t="s">
        <v>876</v>
      </c>
      <c r="Q8" t="s">
        <v>877</v>
      </c>
      <c r="R8" t="s">
        <v>883</v>
      </c>
      <c r="S8" t="s">
        <v>878</v>
      </c>
      <c r="T8" t="s">
        <v>882</v>
      </c>
      <c r="U8" t="s">
        <v>896</v>
      </c>
      <c r="V8" t="s">
        <v>955</v>
      </c>
      <c r="W8" t="s">
        <v>944</v>
      </c>
      <c r="X8" t="s">
        <v>945</v>
      </c>
      <c r="Y8" t="s">
        <v>946</v>
      </c>
      <c r="Z8" t="s">
        <v>947</v>
      </c>
      <c r="AA8" t="s">
        <v>948</v>
      </c>
      <c r="AB8" t="s">
        <v>949</v>
      </c>
      <c r="AC8" t="s">
        <v>950</v>
      </c>
      <c r="AD8" t="s">
        <v>951</v>
      </c>
      <c r="AE8" t="s">
        <v>952</v>
      </c>
      <c r="AF8" t="s">
        <v>953</v>
      </c>
      <c r="AG8" t="s">
        <v>956</v>
      </c>
      <c r="AH8" t="s">
        <v>957</v>
      </c>
      <c r="AI8" t="s">
        <v>958</v>
      </c>
      <c r="AJ8" t="s">
        <v>959</v>
      </c>
      <c r="AK8" t="s">
        <v>960</v>
      </c>
      <c r="AL8" t="s">
        <v>961</v>
      </c>
      <c r="AM8" t="s">
        <v>962</v>
      </c>
      <c r="AN8" t="s">
        <v>884</v>
      </c>
      <c r="AO8" t="s">
        <v>885</v>
      </c>
      <c r="AP8" t="s">
        <v>886</v>
      </c>
      <c r="AQ8" t="s">
        <v>887</v>
      </c>
      <c r="AR8" t="s">
        <v>888</v>
      </c>
      <c r="AS8" t="s">
        <v>963</v>
      </c>
      <c r="AT8" t="s">
        <v>964</v>
      </c>
      <c r="AU8" t="s">
        <v>965</v>
      </c>
      <c r="AV8" t="s">
        <v>966</v>
      </c>
      <c r="AW8" t="s">
        <v>967</v>
      </c>
      <c r="AX8" t="s">
        <v>968</v>
      </c>
      <c r="AY8" t="s">
        <v>969</v>
      </c>
      <c r="AZ8" t="s">
        <v>970</v>
      </c>
      <c r="BA8" t="s">
        <v>889</v>
      </c>
      <c r="BB8" t="s">
        <v>890</v>
      </c>
      <c r="BC8" t="s">
        <v>891</v>
      </c>
      <c r="BD8" t="s">
        <v>892</v>
      </c>
    </row>
    <row r="9" spans="1:86" x14ac:dyDescent="0.25">
      <c r="A9" t="str">
        <f t="shared" ref="A9:BL9" si="0">MID(A7,1,4)</f>
        <v>1010</v>
      </c>
      <c r="B9" t="str">
        <f t="shared" si="0"/>
        <v>1015</v>
      </c>
      <c r="C9" t="str">
        <f t="shared" si="0"/>
        <v>1020</v>
      </c>
      <c r="D9" t="str">
        <f t="shared" si="0"/>
        <v>1025</v>
      </c>
      <c r="E9" t="str">
        <f t="shared" si="0"/>
        <v>1030</v>
      </c>
      <c r="F9" t="str">
        <f t="shared" si="0"/>
        <v>1034</v>
      </c>
      <c r="G9" t="str">
        <f t="shared" si="0"/>
        <v>1035</v>
      </c>
      <c r="H9" t="str">
        <f t="shared" si="0"/>
        <v>1045</v>
      </c>
      <c r="I9" t="str">
        <f t="shared" si="0"/>
        <v>1050</v>
      </c>
      <c r="J9" t="str">
        <f t="shared" si="0"/>
        <v>1051</v>
      </c>
      <c r="K9" t="str">
        <f t="shared" si="0"/>
        <v>1090</v>
      </c>
      <c r="L9" t="str">
        <f t="shared" si="0"/>
        <v>3325</v>
      </c>
      <c r="M9" t="str">
        <f t="shared" si="0"/>
        <v>3328</v>
      </c>
      <c r="N9" t="str">
        <f t="shared" si="0"/>
        <v>3329</v>
      </c>
      <c r="O9" t="str">
        <f t="shared" si="0"/>
        <v>2150</v>
      </c>
      <c r="P9" t="str">
        <f t="shared" si="0"/>
        <v>1085</v>
      </c>
      <c r="Q9" t="str">
        <f t="shared" si="0"/>
        <v>5300</v>
      </c>
      <c r="R9" t="str">
        <f t="shared" si="0"/>
        <v>5305</v>
      </c>
      <c r="S9" t="str">
        <f t="shared" si="0"/>
        <v>5310</v>
      </c>
      <c r="T9" t="str">
        <f t="shared" si="0"/>
        <v>5315</v>
      </c>
      <c r="U9" t="str">
        <f t="shared" si="0"/>
        <v>5320</v>
      </c>
      <c r="V9" t="str">
        <f t="shared" si="0"/>
        <v>9995</v>
      </c>
      <c r="W9" t="str">
        <f t="shared" si="0"/>
        <v>9997</v>
      </c>
      <c r="X9" t="str">
        <f t="shared" si="0"/>
        <v>9998</v>
      </c>
      <c r="Y9" t="str">
        <f t="shared" si="0"/>
        <v>9999</v>
      </c>
      <c r="Z9" t="str">
        <f t="shared" si="0"/>
        <v>3010</v>
      </c>
      <c r="AA9" t="str">
        <f t="shared" si="0"/>
        <v>3015</v>
      </c>
      <c r="AB9" t="str">
        <f t="shared" si="0"/>
        <v>3041</v>
      </c>
      <c r="AC9" t="str">
        <f t="shared" si="0"/>
        <v>4301</v>
      </c>
      <c r="AD9" t="str">
        <f t="shared" si="0"/>
        <v>5030</v>
      </c>
      <c r="AE9" t="str">
        <f t="shared" si="0"/>
        <v>5060</v>
      </c>
      <c r="AF9" t="str">
        <f t="shared" si="0"/>
        <v>4029</v>
      </c>
      <c r="AG9" t="str">
        <f t="shared" si="0"/>
        <v>2010</v>
      </c>
      <c r="AH9" t="str">
        <f t="shared" si="0"/>
        <v>2015</v>
      </c>
      <c r="AI9" t="str">
        <f t="shared" si="0"/>
        <v>2020</v>
      </c>
      <c r="AJ9" t="str">
        <f t="shared" si="0"/>
        <v>2025</v>
      </c>
      <c r="AK9" t="str">
        <f t="shared" si="0"/>
        <v>2030</v>
      </c>
      <c r="AL9" t="str">
        <f t="shared" si="0"/>
        <v>2035</v>
      </c>
      <c r="AM9" t="str">
        <f t="shared" si="0"/>
        <v>2040</v>
      </c>
      <c r="AN9" t="str">
        <f t="shared" si="0"/>
        <v>2045</v>
      </c>
      <c r="AO9" t="str">
        <f t="shared" si="0"/>
        <v>2050</v>
      </c>
      <c r="AP9" t="str">
        <f t="shared" si="0"/>
        <v>2055</v>
      </c>
      <c r="AQ9" t="str">
        <f t="shared" si="0"/>
        <v>2061</v>
      </c>
      <c r="AR9" t="str">
        <f t="shared" si="0"/>
        <v>2065</v>
      </c>
      <c r="AS9" t="str">
        <f t="shared" si="0"/>
        <v>2066</v>
      </c>
      <c r="AT9" t="str">
        <f t="shared" si="0"/>
        <v>2070</v>
      </c>
      <c r="AU9" t="str">
        <f t="shared" si="0"/>
        <v>2075</v>
      </c>
      <c r="AV9" t="str">
        <f t="shared" si="0"/>
        <v>2080</v>
      </c>
      <c r="AW9" t="str">
        <f t="shared" si="0"/>
        <v>2076</v>
      </c>
      <c r="AX9" t="str">
        <f t="shared" si="0"/>
        <v>2081</v>
      </c>
      <c r="AY9" t="str">
        <f t="shared" si="0"/>
        <v>2077</v>
      </c>
      <c r="AZ9" t="str">
        <f t="shared" si="0"/>
        <v>2082</v>
      </c>
      <c r="BA9" t="str">
        <f t="shared" si="0"/>
        <v>2078</v>
      </c>
      <c r="BB9" t="str">
        <f t="shared" si="0"/>
        <v>2083</v>
      </c>
      <c r="BC9" t="str">
        <f t="shared" si="0"/>
        <v>2079</v>
      </c>
      <c r="BD9" t="str">
        <f t="shared" si="0"/>
        <v>2084</v>
      </c>
      <c r="BE9" t="str">
        <f t="shared" si="0"/>
        <v>2086</v>
      </c>
      <c r="BF9" t="str">
        <f t="shared" si="0"/>
        <v>2087</v>
      </c>
      <c r="BG9" t="str">
        <f t="shared" si="0"/>
        <v>2085</v>
      </c>
      <c r="BH9" t="str">
        <f t="shared" si="0"/>
        <v>2090</v>
      </c>
      <c r="BI9" t="str">
        <f t="shared" si="0"/>
        <v>2091</v>
      </c>
      <c r="BJ9" t="str">
        <f t="shared" si="0"/>
        <v>2092</v>
      </c>
      <c r="BK9" t="str">
        <f t="shared" si="0"/>
        <v>2093</v>
      </c>
      <c r="BL9" t="str">
        <f t="shared" si="0"/>
        <v>2094</v>
      </c>
      <c r="BM9" t="str">
        <f t="shared" ref="BM9:CH9" si="1">MID(BM7,1,4)</f>
        <v>2130</v>
      </c>
      <c r="BN9" t="str">
        <f t="shared" si="1"/>
        <v>2135</v>
      </c>
      <c r="BO9" t="str">
        <f t="shared" si="1"/>
        <v>2136</v>
      </c>
      <c r="BP9" t="str">
        <f t="shared" si="1"/>
        <v>2137</v>
      </c>
      <c r="BQ9" t="str">
        <f t="shared" si="1"/>
        <v>2140</v>
      </c>
      <c r="BR9" t="str">
        <f t="shared" si="1"/>
        <v>2145</v>
      </c>
      <c r="BS9" t="str">
        <f t="shared" si="1"/>
        <v>2200</v>
      </c>
      <c r="BT9" t="str">
        <f t="shared" si="1"/>
        <v>2205</v>
      </c>
      <c r="BU9" t="str">
        <f t="shared" si="1"/>
        <v>2210</v>
      </c>
      <c r="BV9" t="str">
        <f t="shared" si="1"/>
        <v>2215</v>
      </c>
      <c r="BW9" t="str">
        <f t="shared" si="1"/>
        <v>2220</v>
      </c>
      <c r="BX9" t="str">
        <f t="shared" si="1"/>
        <v>2300</v>
      </c>
      <c r="BY9" t="str">
        <f t="shared" si="1"/>
        <v>5025</v>
      </c>
      <c r="BZ9" t="str">
        <f t="shared" si="1"/>
        <v>5035</v>
      </c>
      <c r="CA9" t="str">
        <f t="shared" si="1"/>
        <v>5040</v>
      </c>
      <c r="CB9" t="str">
        <f t="shared" si="1"/>
        <v>5045</v>
      </c>
      <c r="CC9" t="str">
        <f t="shared" si="1"/>
        <v>5055</v>
      </c>
      <c r="CD9" t="str">
        <f t="shared" si="1"/>
        <v>5065</v>
      </c>
      <c r="CE9" t="str">
        <f t="shared" si="1"/>
        <v>5070</v>
      </c>
      <c r="CF9" t="str">
        <f t="shared" si="1"/>
        <v>5075</v>
      </c>
      <c r="CG9" t="str">
        <f t="shared" si="1"/>
        <v>5080</v>
      </c>
      <c r="CH9" t="str">
        <f t="shared" si="1"/>
        <v>5115</v>
      </c>
    </row>
    <row r="10" spans="1:86" x14ac:dyDescent="0.25">
      <c r="A10" t="str">
        <f t="shared" ref="A10:BD10" si="2">MID(A8,1,4)</f>
        <v>3010</v>
      </c>
      <c r="B10" t="str">
        <f t="shared" si="2"/>
        <v>3015</v>
      </c>
      <c r="C10" t="str">
        <f t="shared" si="2"/>
        <v>3041</v>
      </c>
      <c r="D10" t="str">
        <f t="shared" si="2"/>
        <v>3325</v>
      </c>
      <c r="E10" t="str">
        <f t="shared" si="2"/>
        <v>3327</v>
      </c>
      <c r="F10" t="str">
        <f t="shared" si="2"/>
        <v>3328</v>
      </c>
      <c r="G10" t="str">
        <f t="shared" si="2"/>
        <v>3329</v>
      </c>
      <c r="H10" t="str">
        <f t="shared" si="2"/>
        <v>1010</v>
      </c>
      <c r="I10" t="str">
        <f t="shared" si="2"/>
        <v>1015</v>
      </c>
      <c r="J10" t="str">
        <f t="shared" si="2"/>
        <v>1020</v>
      </c>
      <c r="K10" t="str">
        <f t="shared" si="2"/>
        <v>1025</v>
      </c>
      <c r="L10" t="str">
        <f t="shared" si="2"/>
        <v>1030</v>
      </c>
      <c r="M10" t="str">
        <f t="shared" si="2"/>
        <v>1034</v>
      </c>
      <c r="N10" t="str">
        <f t="shared" si="2"/>
        <v>1035</v>
      </c>
      <c r="O10" t="str">
        <f t="shared" si="2"/>
        <v>1045</v>
      </c>
      <c r="P10" t="str">
        <f t="shared" si="2"/>
        <v>1050</v>
      </c>
      <c r="Q10" t="str">
        <f t="shared" si="2"/>
        <v>1051</v>
      </c>
      <c r="R10" t="str">
        <f t="shared" si="2"/>
        <v>1085</v>
      </c>
      <c r="S10" t="str">
        <f t="shared" si="2"/>
        <v>1090</v>
      </c>
      <c r="T10" t="str">
        <f t="shared" si="2"/>
        <v>2150</v>
      </c>
      <c r="U10" t="str">
        <f t="shared" si="2"/>
        <v>4301</v>
      </c>
      <c r="V10" t="str">
        <f t="shared" si="2"/>
        <v>4645</v>
      </c>
      <c r="W10" t="str">
        <f t="shared" si="2"/>
        <v>5025</v>
      </c>
      <c r="X10" t="str">
        <f t="shared" si="2"/>
        <v>5035</v>
      </c>
      <c r="Y10" t="str">
        <f t="shared" si="2"/>
        <v>5040</v>
      </c>
      <c r="Z10" t="str">
        <f t="shared" si="2"/>
        <v>5045</v>
      </c>
      <c r="AA10" t="str">
        <f t="shared" si="2"/>
        <v>5055</v>
      </c>
      <c r="AB10" t="str">
        <f t="shared" si="2"/>
        <v>5065</v>
      </c>
      <c r="AC10" t="str">
        <f t="shared" si="2"/>
        <v>5070</v>
      </c>
      <c r="AD10" t="str">
        <f t="shared" si="2"/>
        <v>5075</v>
      </c>
      <c r="AE10" t="str">
        <f t="shared" si="2"/>
        <v>5080</v>
      </c>
      <c r="AF10" t="str">
        <f t="shared" si="2"/>
        <v>5115</v>
      </c>
      <c r="AG10" t="str">
        <f t="shared" si="2"/>
        <v>5170</v>
      </c>
      <c r="AH10" t="str">
        <f t="shared" si="2"/>
        <v>5180</v>
      </c>
      <c r="AI10" t="str">
        <f t="shared" si="2"/>
        <v>5205</v>
      </c>
      <c r="AJ10" t="str">
        <f t="shared" si="2"/>
        <v>5210</v>
      </c>
      <c r="AK10" t="str">
        <f t="shared" si="2"/>
        <v>5215</v>
      </c>
      <c r="AL10" t="str">
        <f t="shared" si="2"/>
        <v>5230</v>
      </c>
      <c r="AM10" t="str">
        <f t="shared" si="2"/>
        <v>5235</v>
      </c>
      <c r="AN10" t="str">
        <f t="shared" si="2"/>
        <v>5300</v>
      </c>
      <c r="AO10" t="str">
        <f t="shared" si="2"/>
        <v>5305</v>
      </c>
      <c r="AP10" t="str">
        <f t="shared" si="2"/>
        <v>5310</v>
      </c>
      <c r="AQ10" t="str">
        <f t="shared" si="2"/>
        <v>5315</v>
      </c>
      <c r="AR10" t="str">
        <f t="shared" si="2"/>
        <v>5320</v>
      </c>
      <c r="AS10" t="str">
        <f t="shared" si="2"/>
        <v>5365</v>
      </c>
      <c r="AT10" t="str">
        <f t="shared" si="2"/>
        <v>5390</v>
      </c>
      <c r="AU10" t="str">
        <f t="shared" si="2"/>
        <v>5391</v>
      </c>
      <c r="AV10" t="str">
        <f t="shared" si="2"/>
        <v>5392</v>
      </c>
      <c r="AW10" t="str">
        <f t="shared" si="2"/>
        <v>5400</v>
      </c>
      <c r="AX10" t="str">
        <f t="shared" si="2"/>
        <v>5410</v>
      </c>
      <c r="AY10" t="str">
        <f t="shared" si="2"/>
        <v>7001</v>
      </c>
      <c r="AZ10" t="str">
        <f t="shared" si="2"/>
        <v>9985</v>
      </c>
      <c r="BA10" t="str">
        <f t="shared" si="2"/>
        <v>9995</v>
      </c>
      <c r="BB10" t="str">
        <f t="shared" si="2"/>
        <v>9997</v>
      </c>
      <c r="BC10" t="str">
        <f t="shared" si="2"/>
        <v>9998</v>
      </c>
      <c r="BD10" t="str">
        <f t="shared" si="2"/>
        <v>9999</v>
      </c>
    </row>
    <row r="16" spans="1:86" x14ac:dyDescent="0.25">
      <c r="A16" t="s">
        <v>971</v>
      </c>
      <c r="B16" t="s">
        <v>972</v>
      </c>
      <c r="C16" t="s">
        <v>973</v>
      </c>
      <c r="D16" t="s">
        <v>974</v>
      </c>
      <c r="E16" t="s">
        <v>975</v>
      </c>
      <c r="F16" t="s">
        <v>976</v>
      </c>
      <c r="G16" t="s">
        <v>977</v>
      </c>
      <c r="H16" t="s">
        <v>978</v>
      </c>
      <c r="I16" t="s">
        <v>979</v>
      </c>
      <c r="J16" t="s">
        <v>980</v>
      </c>
      <c r="K16" t="s">
        <v>981</v>
      </c>
      <c r="L16" t="s">
        <v>982</v>
      </c>
      <c r="M16" t="s">
        <v>983</v>
      </c>
      <c r="N16" t="s">
        <v>984</v>
      </c>
      <c r="O16" t="s">
        <v>985</v>
      </c>
      <c r="P16" t="s">
        <v>986</v>
      </c>
      <c r="Q16" t="s">
        <v>987</v>
      </c>
      <c r="R16" t="s">
        <v>988</v>
      </c>
      <c r="S16" t="s">
        <v>989</v>
      </c>
      <c r="T16" t="s">
        <v>990</v>
      </c>
      <c r="U16" t="s">
        <v>991</v>
      </c>
      <c r="V16" t="s">
        <v>992</v>
      </c>
      <c r="W16" t="s">
        <v>993</v>
      </c>
      <c r="X16" t="s">
        <v>994</v>
      </c>
      <c r="Y16" t="s">
        <v>995</v>
      </c>
      <c r="Z16" t="s">
        <v>996</v>
      </c>
      <c r="AA16" t="s">
        <v>997</v>
      </c>
      <c r="AB16" t="s">
        <v>802</v>
      </c>
      <c r="AC16" t="s">
        <v>998</v>
      </c>
      <c r="AD16" t="s">
        <v>999</v>
      </c>
      <c r="AE16" t="s">
        <v>1000</v>
      </c>
      <c r="AF16" t="s">
        <v>287</v>
      </c>
      <c r="AG16" t="s">
        <v>1001</v>
      </c>
      <c r="AH16" t="s">
        <v>1002</v>
      </c>
      <c r="AI16" t="s">
        <v>1003</v>
      </c>
      <c r="AJ16" t="s">
        <v>1004</v>
      </c>
      <c r="AK16" t="s">
        <v>1005</v>
      </c>
      <c r="AL16" t="s">
        <v>1006</v>
      </c>
      <c r="AM16" t="s">
        <v>1007</v>
      </c>
      <c r="AN16" t="s">
        <v>1008</v>
      </c>
      <c r="AO16" t="s">
        <v>1009</v>
      </c>
      <c r="AP16" t="s">
        <v>1010</v>
      </c>
      <c r="AQ16" t="s">
        <v>1011</v>
      </c>
      <c r="AR16" t="s">
        <v>1012</v>
      </c>
      <c r="AS16" t="s">
        <v>1013</v>
      </c>
      <c r="AT16" t="s">
        <v>1014</v>
      </c>
      <c r="AU16" t="s">
        <v>1015</v>
      </c>
      <c r="AV16" t="s">
        <v>1016</v>
      </c>
      <c r="AW16" t="s">
        <v>1017</v>
      </c>
      <c r="AX16" t="s">
        <v>1018</v>
      </c>
      <c r="AY16" t="s">
        <v>1019</v>
      </c>
      <c r="AZ16" t="s">
        <v>1020</v>
      </c>
      <c r="BA16" t="s">
        <v>1021</v>
      </c>
      <c r="BB16" t="s">
        <v>1022</v>
      </c>
      <c r="BC16" t="s">
        <v>1023</v>
      </c>
      <c r="BD16" t="s">
        <v>1024</v>
      </c>
      <c r="BE16" t="s">
        <v>1025</v>
      </c>
      <c r="BF16" t="s">
        <v>1026</v>
      </c>
      <c r="BG16" t="s">
        <v>1027</v>
      </c>
      <c r="BH16" t="s">
        <v>1028</v>
      </c>
      <c r="BI16" t="s">
        <v>1029</v>
      </c>
      <c r="BJ16" t="s">
        <v>1030</v>
      </c>
      <c r="BK16" t="s">
        <v>1031</v>
      </c>
      <c r="BL16" t="s">
        <v>1032</v>
      </c>
      <c r="BM16" t="s">
        <v>1033</v>
      </c>
      <c r="BN16" t="s">
        <v>1034</v>
      </c>
      <c r="BO16" t="s">
        <v>1035</v>
      </c>
      <c r="BP16" t="s">
        <v>1036</v>
      </c>
      <c r="BQ16" t="s">
        <v>1037</v>
      </c>
      <c r="BR16" t="s">
        <v>1038</v>
      </c>
      <c r="BS16" t="s">
        <v>1039</v>
      </c>
      <c r="BT16" t="s">
        <v>1040</v>
      </c>
      <c r="BU16" t="s">
        <v>1041</v>
      </c>
      <c r="BV16" t="s">
        <v>1042</v>
      </c>
      <c r="BW16" t="s">
        <v>1043</v>
      </c>
      <c r="BX16" t="s">
        <v>1044</v>
      </c>
      <c r="BY16" t="s">
        <v>1045</v>
      </c>
      <c r="BZ16" t="s">
        <v>1046</v>
      </c>
      <c r="CA16" t="s">
        <v>1047</v>
      </c>
      <c r="CB16" t="s">
        <v>1048</v>
      </c>
      <c r="CC16" t="s">
        <v>1049</v>
      </c>
      <c r="CD16" t="s">
        <v>1050</v>
      </c>
      <c r="CE16" t="s">
        <v>1051</v>
      </c>
      <c r="CF16" t="s">
        <v>1052</v>
      </c>
      <c r="CG16" t="s">
        <v>1053</v>
      </c>
      <c r="CH16" t="s">
        <v>1054</v>
      </c>
    </row>
    <row r="17" spans="1:56" x14ac:dyDescent="0.25">
      <c r="A17" t="s">
        <v>996</v>
      </c>
      <c r="B17" t="s">
        <v>997</v>
      </c>
      <c r="C17" t="s">
        <v>802</v>
      </c>
      <c r="D17" t="s">
        <v>982</v>
      </c>
      <c r="E17" t="s">
        <v>1055</v>
      </c>
      <c r="F17" t="s">
        <v>983</v>
      </c>
      <c r="G17" t="s">
        <v>984</v>
      </c>
      <c r="H17" t="s">
        <v>971</v>
      </c>
      <c r="I17" t="s">
        <v>972</v>
      </c>
      <c r="J17" t="s">
        <v>973</v>
      </c>
      <c r="K17" t="s">
        <v>974</v>
      </c>
      <c r="L17" t="s">
        <v>975</v>
      </c>
      <c r="M17" t="s">
        <v>976</v>
      </c>
      <c r="N17" t="s">
        <v>977</v>
      </c>
      <c r="O17" t="s">
        <v>978</v>
      </c>
      <c r="P17" t="s">
        <v>979</v>
      </c>
      <c r="Q17" t="s">
        <v>980</v>
      </c>
      <c r="R17" t="s">
        <v>986</v>
      </c>
      <c r="S17" t="s">
        <v>981</v>
      </c>
      <c r="T17" t="s">
        <v>985</v>
      </c>
      <c r="U17" t="s">
        <v>998</v>
      </c>
      <c r="V17" t="s">
        <v>1056</v>
      </c>
      <c r="W17" t="s">
        <v>1045</v>
      </c>
      <c r="X17" t="s">
        <v>1046</v>
      </c>
      <c r="Y17" t="s">
        <v>1047</v>
      </c>
      <c r="Z17" t="s">
        <v>1048</v>
      </c>
      <c r="AA17" t="s">
        <v>1049</v>
      </c>
      <c r="AB17" t="s">
        <v>1050</v>
      </c>
      <c r="AC17" t="s">
        <v>1051</v>
      </c>
      <c r="AD17" t="s">
        <v>1052</v>
      </c>
      <c r="AE17" t="s">
        <v>1053</v>
      </c>
      <c r="AF17" t="s">
        <v>1054</v>
      </c>
      <c r="AG17" t="s">
        <v>111</v>
      </c>
      <c r="AH17" t="s">
        <v>1057</v>
      </c>
      <c r="AI17" t="s">
        <v>1058</v>
      </c>
      <c r="AJ17" t="s">
        <v>1059</v>
      </c>
      <c r="AK17" t="s">
        <v>1060</v>
      </c>
      <c r="AL17" t="s">
        <v>1061</v>
      </c>
      <c r="AM17" t="s">
        <v>1062</v>
      </c>
      <c r="AN17" t="s">
        <v>987</v>
      </c>
      <c r="AO17" t="s">
        <v>988</v>
      </c>
      <c r="AP17" t="s">
        <v>989</v>
      </c>
      <c r="AQ17" t="s">
        <v>990</v>
      </c>
      <c r="AR17" t="s">
        <v>991</v>
      </c>
      <c r="AS17" t="s">
        <v>1063</v>
      </c>
      <c r="AT17" t="s">
        <v>1064</v>
      </c>
      <c r="AU17" t="s">
        <v>1065</v>
      </c>
      <c r="AV17" t="s">
        <v>1066</v>
      </c>
      <c r="AW17" t="s">
        <v>1067</v>
      </c>
      <c r="AX17" t="s">
        <v>1068</v>
      </c>
      <c r="AY17" t="s">
        <v>1069</v>
      </c>
      <c r="AZ17" t="s">
        <v>1070</v>
      </c>
      <c r="BA17" t="s">
        <v>992</v>
      </c>
      <c r="BB17" t="s">
        <v>993</v>
      </c>
      <c r="BC17" t="s">
        <v>994</v>
      </c>
      <c r="BD17" t="s">
        <v>995</v>
      </c>
    </row>
    <row r="29" spans="1:56" x14ac:dyDescent="0.25">
      <c r="B29" t="s">
        <v>996</v>
      </c>
      <c r="C29" t="str">
        <f t="shared" ref="C29:C84" si="3">IF(COUNTIF($G$29:$G$114,B29)&gt;0,"存在","不存在")</f>
        <v>存在</v>
      </c>
      <c r="F29" t="str">
        <f t="shared" ref="F29:F92" si="4">IF(COUNTIF($B$29:$B$114,G29)&gt;0,"存在","不存在")</f>
        <v>存在</v>
      </c>
      <c r="G29" t="s">
        <v>971</v>
      </c>
    </row>
    <row r="30" spans="1:56" x14ac:dyDescent="0.25">
      <c r="B30" t="s">
        <v>997</v>
      </c>
      <c r="C30" t="str">
        <f t="shared" si="3"/>
        <v>存在</v>
      </c>
      <c r="F30" t="str">
        <f t="shared" si="4"/>
        <v>存在</v>
      </c>
      <c r="G30" t="s">
        <v>972</v>
      </c>
    </row>
    <row r="31" spans="1:56" x14ac:dyDescent="0.25">
      <c r="B31" t="s">
        <v>802</v>
      </c>
      <c r="C31" t="str">
        <f t="shared" si="3"/>
        <v>存在</v>
      </c>
      <c r="F31" t="str">
        <f t="shared" si="4"/>
        <v>存在</v>
      </c>
      <c r="G31" t="s">
        <v>973</v>
      </c>
    </row>
    <row r="32" spans="1:56" x14ac:dyDescent="0.25">
      <c r="B32" t="s">
        <v>982</v>
      </c>
      <c r="C32" t="str">
        <f t="shared" si="3"/>
        <v>存在</v>
      </c>
      <c r="F32" t="str">
        <f t="shared" si="4"/>
        <v>存在</v>
      </c>
      <c r="G32" t="s">
        <v>974</v>
      </c>
    </row>
    <row r="33" spans="2:7" x14ac:dyDescent="0.25">
      <c r="B33" t="s">
        <v>1055</v>
      </c>
      <c r="C33" t="str">
        <f t="shared" si="3"/>
        <v>不存在</v>
      </c>
      <c r="F33" t="str">
        <f t="shared" si="4"/>
        <v>存在</v>
      </c>
      <c r="G33" t="s">
        <v>975</v>
      </c>
    </row>
    <row r="34" spans="2:7" x14ac:dyDescent="0.25">
      <c r="B34" t="s">
        <v>983</v>
      </c>
      <c r="C34" t="str">
        <f t="shared" si="3"/>
        <v>存在</v>
      </c>
      <c r="F34" t="str">
        <f t="shared" si="4"/>
        <v>存在</v>
      </c>
      <c r="G34" t="s">
        <v>976</v>
      </c>
    </row>
    <row r="35" spans="2:7" x14ac:dyDescent="0.25">
      <c r="B35" t="s">
        <v>984</v>
      </c>
      <c r="C35" t="str">
        <f t="shared" si="3"/>
        <v>存在</v>
      </c>
      <c r="F35" t="str">
        <f t="shared" si="4"/>
        <v>存在</v>
      </c>
      <c r="G35" t="s">
        <v>977</v>
      </c>
    </row>
    <row r="36" spans="2:7" x14ac:dyDescent="0.25">
      <c r="B36" t="s">
        <v>971</v>
      </c>
      <c r="C36" t="str">
        <f t="shared" si="3"/>
        <v>存在</v>
      </c>
      <c r="F36" t="str">
        <f t="shared" si="4"/>
        <v>存在</v>
      </c>
      <c r="G36" t="s">
        <v>978</v>
      </c>
    </row>
    <row r="37" spans="2:7" x14ac:dyDescent="0.25">
      <c r="B37" t="s">
        <v>972</v>
      </c>
      <c r="C37" t="str">
        <f t="shared" si="3"/>
        <v>存在</v>
      </c>
      <c r="F37" t="str">
        <f t="shared" si="4"/>
        <v>存在</v>
      </c>
      <c r="G37" t="s">
        <v>979</v>
      </c>
    </row>
    <row r="38" spans="2:7" x14ac:dyDescent="0.25">
      <c r="B38" t="s">
        <v>973</v>
      </c>
      <c r="C38" t="str">
        <f t="shared" si="3"/>
        <v>存在</v>
      </c>
      <c r="F38" t="str">
        <f t="shared" si="4"/>
        <v>存在</v>
      </c>
      <c r="G38" t="s">
        <v>980</v>
      </c>
    </row>
    <row r="39" spans="2:7" x14ac:dyDescent="0.25">
      <c r="B39" t="s">
        <v>974</v>
      </c>
      <c r="C39" t="str">
        <f t="shared" si="3"/>
        <v>存在</v>
      </c>
      <c r="F39" t="str">
        <f t="shared" si="4"/>
        <v>存在</v>
      </c>
      <c r="G39" t="s">
        <v>981</v>
      </c>
    </row>
    <row r="40" spans="2:7" x14ac:dyDescent="0.25">
      <c r="B40" t="s">
        <v>975</v>
      </c>
      <c r="C40" t="str">
        <f t="shared" si="3"/>
        <v>存在</v>
      </c>
      <c r="F40" t="str">
        <f t="shared" si="4"/>
        <v>存在</v>
      </c>
      <c r="G40" t="s">
        <v>982</v>
      </c>
    </row>
    <row r="41" spans="2:7" x14ac:dyDescent="0.25">
      <c r="B41" t="s">
        <v>976</v>
      </c>
      <c r="C41" t="str">
        <f t="shared" si="3"/>
        <v>存在</v>
      </c>
      <c r="F41" t="str">
        <f t="shared" si="4"/>
        <v>存在</v>
      </c>
      <c r="G41" t="s">
        <v>983</v>
      </c>
    </row>
    <row r="42" spans="2:7" x14ac:dyDescent="0.25">
      <c r="B42" t="s">
        <v>977</v>
      </c>
      <c r="C42" t="str">
        <f t="shared" si="3"/>
        <v>存在</v>
      </c>
      <c r="F42" t="str">
        <f t="shared" si="4"/>
        <v>存在</v>
      </c>
      <c r="G42" t="s">
        <v>984</v>
      </c>
    </row>
    <row r="43" spans="2:7" x14ac:dyDescent="0.25">
      <c r="B43" t="s">
        <v>978</v>
      </c>
      <c r="C43" t="str">
        <f t="shared" si="3"/>
        <v>存在</v>
      </c>
      <c r="F43" t="str">
        <f t="shared" si="4"/>
        <v>存在</v>
      </c>
      <c r="G43" t="s">
        <v>985</v>
      </c>
    </row>
    <row r="44" spans="2:7" x14ac:dyDescent="0.25">
      <c r="B44" t="s">
        <v>979</v>
      </c>
      <c r="C44" t="str">
        <f t="shared" si="3"/>
        <v>存在</v>
      </c>
      <c r="F44" t="str">
        <f t="shared" si="4"/>
        <v>存在</v>
      </c>
      <c r="G44" t="s">
        <v>986</v>
      </c>
    </row>
    <row r="45" spans="2:7" x14ac:dyDescent="0.25">
      <c r="B45" t="s">
        <v>980</v>
      </c>
      <c r="C45" t="str">
        <f t="shared" si="3"/>
        <v>存在</v>
      </c>
      <c r="F45" t="str">
        <f t="shared" si="4"/>
        <v>存在</v>
      </c>
      <c r="G45" t="s">
        <v>987</v>
      </c>
    </row>
    <row r="46" spans="2:7" x14ac:dyDescent="0.25">
      <c r="B46" t="s">
        <v>986</v>
      </c>
      <c r="C46" t="str">
        <f t="shared" si="3"/>
        <v>存在</v>
      </c>
      <c r="F46" t="str">
        <f t="shared" si="4"/>
        <v>存在</v>
      </c>
      <c r="G46" t="s">
        <v>988</v>
      </c>
    </row>
    <row r="47" spans="2:7" x14ac:dyDescent="0.25">
      <c r="B47" t="s">
        <v>981</v>
      </c>
      <c r="C47" t="str">
        <f t="shared" si="3"/>
        <v>存在</v>
      </c>
      <c r="F47" t="str">
        <f t="shared" si="4"/>
        <v>存在</v>
      </c>
      <c r="G47" t="s">
        <v>989</v>
      </c>
    </row>
    <row r="48" spans="2:7" x14ac:dyDescent="0.25">
      <c r="B48" t="s">
        <v>985</v>
      </c>
      <c r="C48" t="str">
        <f t="shared" si="3"/>
        <v>存在</v>
      </c>
      <c r="F48" t="str">
        <f t="shared" si="4"/>
        <v>存在</v>
      </c>
      <c r="G48" t="s">
        <v>990</v>
      </c>
    </row>
    <row r="49" spans="2:7" x14ac:dyDescent="0.25">
      <c r="B49" t="s">
        <v>998</v>
      </c>
      <c r="C49" t="str">
        <f t="shared" si="3"/>
        <v>存在</v>
      </c>
      <c r="F49" t="str">
        <f t="shared" si="4"/>
        <v>存在</v>
      </c>
      <c r="G49" t="s">
        <v>991</v>
      </c>
    </row>
    <row r="50" spans="2:7" x14ac:dyDescent="0.25">
      <c r="B50">
        <v>4645</v>
      </c>
      <c r="C50" t="str">
        <f t="shared" si="3"/>
        <v>不存在</v>
      </c>
      <c r="F50" t="str">
        <f t="shared" si="4"/>
        <v>存在</v>
      </c>
      <c r="G50" t="s">
        <v>992</v>
      </c>
    </row>
    <row r="51" spans="2:7" x14ac:dyDescent="0.25">
      <c r="B51" t="s">
        <v>1045</v>
      </c>
      <c r="C51" t="str">
        <f t="shared" si="3"/>
        <v>存在</v>
      </c>
      <c r="F51" t="str">
        <f t="shared" si="4"/>
        <v>存在</v>
      </c>
      <c r="G51" t="s">
        <v>993</v>
      </c>
    </row>
    <row r="52" spans="2:7" x14ac:dyDescent="0.25">
      <c r="B52" t="s">
        <v>1046</v>
      </c>
      <c r="C52" t="str">
        <f t="shared" si="3"/>
        <v>存在</v>
      </c>
      <c r="F52" t="str">
        <f t="shared" si="4"/>
        <v>存在</v>
      </c>
      <c r="G52" t="s">
        <v>994</v>
      </c>
    </row>
    <row r="53" spans="2:7" x14ac:dyDescent="0.25">
      <c r="B53" t="s">
        <v>1047</v>
      </c>
      <c r="C53" t="str">
        <f t="shared" si="3"/>
        <v>存在</v>
      </c>
      <c r="F53" t="str">
        <f t="shared" si="4"/>
        <v>存在</v>
      </c>
      <c r="G53" t="s">
        <v>995</v>
      </c>
    </row>
    <row r="54" spans="2:7" x14ac:dyDescent="0.25">
      <c r="B54" t="s">
        <v>1048</v>
      </c>
      <c r="C54" t="str">
        <f t="shared" si="3"/>
        <v>存在</v>
      </c>
      <c r="F54" t="str">
        <f t="shared" si="4"/>
        <v>存在</v>
      </c>
      <c r="G54" t="s">
        <v>996</v>
      </c>
    </row>
    <row r="55" spans="2:7" x14ac:dyDescent="0.25">
      <c r="B55" t="s">
        <v>1049</v>
      </c>
      <c r="C55" t="str">
        <f t="shared" si="3"/>
        <v>存在</v>
      </c>
      <c r="F55" t="str">
        <f t="shared" si="4"/>
        <v>存在</v>
      </c>
      <c r="G55" t="s">
        <v>997</v>
      </c>
    </row>
    <row r="56" spans="2:7" x14ac:dyDescent="0.25">
      <c r="B56" t="s">
        <v>1050</v>
      </c>
      <c r="C56" t="str">
        <f t="shared" si="3"/>
        <v>存在</v>
      </c>
      <c r="F56" t="str">
        <f t="shared" si="4"/>
        <v>存在</v>
      </c>
      <c r="G56" t="s">
        <v>802</v>
      </c>
    </row>
    <row r="57" spans="2:7" x14ac:dyDescent="0.25">
      <c r="B57" t="s">
        <v>1051</v>
      </c>
      <c r="C57" t="str">
        <f t="shared" si="3"/>
        <v>存在</v>
      </c>
      <c r="F57" t="str">
        <f t="shared" si="4"/>
        <v>存在</v>
      </c>
      <c r="G57" t="s">
        <v>998</v>
      </c>
    </row>
    <row r="58" spans="2:7" x14ac:dyDescent="0.25">
      <c r="B58" t="s">
        <v>1052</v>
      </c>
      <c r="C58" t="str">
        <f t="shared" si="3"/>
        <v>存在</v>
      </c>
      <c r="F58" t="str">
        <f t="shared" si="4"/>
        <v>不存在</v>
      </c>
      <c r="G58" t="s">
        <v>999</v>
      </c>
    </row>
    <row r="59" spans="2:7" x14ac:dyDescent="0.25">
      <c r="B59" t="s">
        <v>1053</v>
      </c>
      <c r="C59" t="str">
        <f t="shared" si="3"/>
        <v>存在</v>
      </c>
      <c r="F59" t="str">
        <f t="shared" si="4"/>
        <v>不存在</v>
      </c>
      <c r="G59" t="s">
        <v>1000</v>
      </c>
    </row>
    <row r="60" spans="2:7" x14ac:dyDescent="0.25">
      <c r="B60" t="s">
        <v>1054</v>
      </c>
      <c r="C60" t="str">
        <f t="shared" si="3"/>
        <v>存在</v>
      </c>
      <c r="F60" t="str">
        <f t="shared" si="4"/>
        <v>不存在</v>
      </c>
      <c r="G60" t="s">
        <v>287</v>
      </c>
    </row>
    <row r="61" spans="2:7" x14ac:dyDescent="0.25">
      <c r="B61" t="s">
        <v>111</v>
      </c>
      <c r="C61" t="str">
        <f t="shared" si="3"/>
        <v>不存在</v>
      </c>
      <c r="F61" t="str">
        <f t="shared" si="4"/>
        <v>不存在</v>
      </c>
      <c r="G61" t="s">
        <v>1001</v>
      </c>
    </row>
    <row r="62" spans="2:7" x14ac:dyDescent="0.25">
      <c r="B62" t="s">
        <v>1057</v>
      </c>
      <c r="C62" t="str">
        <f t="shared" si="3"/>
        <v>不存在</v>
      </c>
      <c r="F62" t="str">
        <f t="shared" si="4"/>
        <v>不存在</v>
      </c>
      <c r="G62" t="s">
        <v>1002</v>
      </c>
    </row>
    <row r="63" spans="2:7" x14ac:dyDescent="0.25">
      <c r="B63" t="s">
        <v>1058</v>
      </c>
      <c r="C63" t="str">
        <f t="shared" si="3"/>
        <v>不存在</v>
      </c>
      <c r="F63" t="str">
        <f t="shared" si="4"/>
        <v>不存在</v>
      </c>
      <c r="G63" t="s">
        <v>1003</v>
      </c>
    </row>
    <row r="64" spans="2:7" x14ac:dyDescent="0.25">
      <c r="B64" t="s">
        <v>1059</v>
      </c>
      <c r="C64" t="str">
        <f t="shared" si="3"/>
        <v>不存在</v>
      </c>
      <c r="F64" t="str">
        <f t="shared" si="4"/>
        <v>不存在</v>
      </c>
      <c r="G64" t="s">
        <v>1004</v>
      </c>
    </row>
    <row r="65" spans="2:7" x14ac:dyDescent="0.25">
      <c r="B65" t="s">
        <v>1060</v>
      </c>
      <c r="C65" t="str">
        <f t="shared" si="3"/>
        <v>不存在</v>
      </c>
      <c r="F65" t="str">
        <f t="shared" si="4"/>
        <v>不存在</v>
      </c>
      <c r="G65" t="s">
        <v>1005</v>
      </c>
    </row>
    <row r="66" spans="2:7" x14ac:dyDescent="0.25">
      <c r="B66" t="s">
        <v>1061</v>
      </c>
      <c r="C66" t="str">
        <f t="shared" si="3"/>
        <v>不存在</v>
      </c>
      <c r="F66" t="str">
        <f t="shared" si="4"/>
        <v>不存在</v>
      </c>
      <c r="G66" t="s">
        <v>1006</v>
      </c>
    </row>
    <row r="67" spans="2:7" x14ac:dyDescent="0.25">
      <c r="B67" t="s">
        <v>1062</v>
      </c>
      <c r="C67" t="str">
        <f t="shared" si="3"/>
        <v>不存在</v>
      </c>
      <c r="F67" t="str">
        <f t="shared" si="4"/>
        <v>不存在</v>
      </c>
      <c r="G67" t="s">
        <v>1007</v>
      </c>
    </row>
    <row r="68" spans="2:7" x14ac:dyDescent="0.25">
      <c r="B68" t="s">
        <v>987</v>
      </c>
      <c r="C68" t="str">
        <f t="shared" si="3"/>
        <v>存在</v>
      </c>
      <c r="F68" t="str">
        <f t="shared" si="4"/>
        <v>不存在</v>
      </c>
      <c r="G68" t="s">
        <v>1008</v>
      </c>
    </row>
    <row r="69" spans="2:7" x14ac:dyDescent="0.25">
      <c r="B69" t="s">
        <v>988</v>
      </c>
      <c r="C69" t="str">
        <f t="shared" si="3"/>
        <v>存在</v>
      </c>
      <c r="F69" t="str">
        <f t="shared" si="4"/>
        <v>不存在</v>
      </c>
      <c r="G69" t="s">
        <v>1009</v>
      </c>
    </row>
    <row r="70" spans="2:7" x14ac:dyDescent="0.25">
      <c r="B70" t="s">
        <v>989</v>
      </c>
      <c r="C70" t="str">
        <f t="shared" si="3"/>
        <v>存在</v>
      </c>
      <c r="F70" t="str">
        <f t="shared" si="4"/>
        <v>不存在</v>
      </c>
      <c r="G70" t="s">
        <v>1010</v>
      </c>
    </row>
    <row r="71" spans="2:7" x14ac:dyDescent="0.25">
      <c r="B71" t="s">
        <v>990</v>
      </c>
      <c r="C71" t="str">
        <f t="shared" si="3"/>
        <v>存在</v>
      </c>
      <c r="F71" t="str">
        <f t="shared" si="4"/>
        <v>不存在</v>
      </c>
      <c r="G71" t="s">
        <v>1011</v>
      </c>
    </row>
    <row r="72" spans="2:7" x14ac:dyDescent="0.25">
      <c r="B72" t="s">
        <v>991</v>
      </c>
      <c r="C72" t="str">
        <f t="shared" si="3"/>
        <v>存在</v>
      </c>
      <c r="F72" t="str">
        <f t="shared" si="4"/>
        <v>不存在</v>
      </c>
      <c r="G72" t="s">
        <v>1012</v>
      </c>
    </row>
    <row r="73" spans="2:7" x14ac:dyDescent="0.25">
      <c r="B73" t="s">
        <v>1063</v>
      </c>
      <c r="C73" t="str">
        <f t="shared" si="3"/>
        <v>不存在</v>
      </c>
      <c r="F73" t="str">
        <f t="shared" si="4"/>
        <v>不存在</v>
      </c>
      <c r="G73" t="s">
        <v>1013</v>
      </c>
    </row>
    <row r="74" spans="2:7" x14ac:dyDescent="0.25">
      <c r="B74" t="s">
        <v>1064</v>
      </c>
      <c r="C74" t="str">
        <f t="shared" si="3"/>
        <v>不存在</v>
      </c>
      <c r="F74" t="str">
        <f t="shared" si="4"/>
        <v>不存在</v>
      </c>
      <c r="G74" t="s">
        <v>1014</v>
      </c>
    </row>
    <row r="75" spans="2:7" x14ac:dyDescent="0.25">
      <c r="B75" t="s">
        <v>1065</v>
      </c>
      <c r="C75" t="str">
        <f t="shared" si="3"/>
        <v>不存在</v>
      </c>
      <c r="F75" t="str">
        <f t="shared" si="4"/>
        <v>不存在</v>
      </c>
      <c r="G75" t="s">
        <v>1015</v>
      </c>
    </row>
    <row r="76" spans="2:7" x14ac:dyDescent="0.25">
      <c r="B76" t="s">
        <v>1066</v>
      </c>
      <c r="C76" t="str">
        <f t="shared" si="3"/>
        <v>不存在</v>
      </c>
      <c r="F76" t="str">
        <f t="shared" si="4"/>
        <v>不存在</v>
      </c>
      <c r="G76" t="s">
        <v>1016</v>
      </c>
    </row>
    <row r="77" spans="2:7" x14ac:dyDescent="0.25">
      <c r="B77" t="s">
        <v>1067</v>
      </c>
      <c r="C77" t="str">
        <f t="shared" si="3"/>
        <v>不存在</v>
      </c>
      <c r="F77" t="str">
        <f t="shared" si="4"/>
        <v>不存在</v>
      </c>
      <c r="G77" t="s">
        <v>1017</v>
      </c>
    </row>
    <row r="78" spans="2:7" x14ac:dyDescent="0.25">
      <c r="B78" t="s">
        <v>1068</v>
      </c>
      <c r="C78" t="str">
        <f t="shared" si="3"/>
        <v>不存在</v>
      </c>
      <c r="F78" t="str">
        <f t="shared" si="4"/>
        <v>不存在</v>
      </c>
      <c r="G78" t="s">
        <v>1018</v>
      </c>
    </row>
    <row r="79" spans="2:7" x14ac:dyDescent="0.25">
      <c r="B79" t="s">
        <v>1069</v>
      </c>
      <c r="C79" t="str">
        <f t="shared" si="3"/>
        <v>不存在</v>
      </c>
      <c r="F79" t="str">
        <f t="shared" si="4"/>
        <v>不存在</v>
      </c>
      <c r="G79" t="s">
        <v>1019</v>
      </c>
    </row>
    <row r="80" spans="2:7" x14ac:dyDescent="0.25">
      <c r="B80" t="s">
        <v>1070</v>
      </c>
      <c r="C80" t="str">
        <f t="shared" si="3"/>
        <v>不存在</v>
      </c>
      <c r="F80" t="str">
        <f t="shared" si="4"/>
        <v>不存在</v>
      </c>
      <c r="G80" t="s">
        <v>1020</v>
      </c>
    </row>
    <row r="81" spans="2:7" x14ac:dyDescent="0.25">
      <c r="B81" t="s">
        <v>992</v>
      </c>
      <c r="C81" t="str">
        <f t="shared" si="3"/>
        <v>存在</v>
      </c>
      <c r="F81" t="str">
        <f t="shared" si="4"/>
        <v>不存在</v>
      </c>
      <c r="G81" t="s">
        <v>1021</v>
      </c>
    </row>
    <row r="82" spans="2:7" x14ac:dyDescent="0.25">
      <c r="B82" t="s">
        <v>993</v>
      </c>
      <c r="C82" t="str">
        <f t="shared" si="3"/>
        <v>存在</v>
      </c>
      <c r="F82" t="str">
        <f t="shared" si="4"/>
        <v>不存在</v>
      </c>
      <c r="G82" t="s">
        <v>1022</v>
      </c>
    </row>
    <row r="83" spans="2:7" x14ac:dyDescent="0.25">
      <c r="B83" t="s">
        <v>994</v>
      </c>
      <c r="C83" t="str">
        <f t="shared" si="3"/>
        <v>存在</v>
      </c>
      <c r="F83" t="str">
        <f t="shared" si="4"/>
        <v>不存在</v>
      </c>
      <c r="G83" t="s">
        <v>1023</v>
      </c>
    </row>
    <row r="84" spans="2:7" x14ac:dyDescent="0.25">
      <c r="B84" t="s">
        <v>995</v>
      </c>
      <c r="C84" t="str">
        <f t="shared" si="3"/>
        <v>存在</v>
      </c>
      <c r="F84" t="str">
        <f t="shared" si="4"/>
        <v>不存在</v>
      </c>
      <c r="G84" t="s">
        <v>1024</v>
      </c>
    </row>
    <row r="85" spans="2:7" x14ac:dyDescent="0.25">
      <c r="F85" t="str">
        <f t="shared" si="4"/>
        <v>不存在</v>
      </c>
      <c r="G85" t="s">
        <v>1025</v>
      </c>
    </row>
    <row r="86" spans="2:7" x14ac:dyDescent="0.25">
      <c r="F86" t="str">
        <f t="shared" si="4"/>
        <v>不存在</v>
      </c>
      <c r="G86" t="s">
        <v>1026</v>
      </c>
    </row>
    <row r="87" spans="2:7" x14ac:dyDescent="0.25">
      <c r="F87" t="str">
        <f t="shared" si="4"/>
        <v>不存在</v>
      </c>
      <c r="G87" t="s">
        <v>1027</v>
      </c>
    </row>
    <row r="88" spans="2:7" x14ac:dyDescent="0.25">
      <c r="F88" t="str">
        <f t="shared" si="4"/>
        <v>不存在</v>
      </c>
      <c r="G88" t="s">
        <v>1028</v>
      </c>
    </row>
    <row r="89" spans="2:7" x14ac:dyDescent="0.25">
      <c r="F89" t="str">
        <f t="shared" si="4"/>
        <v>不存在</v>
      </c>
      <c r="G89" t="s">
        <v>1029</v>
      </c>
    </row>
    <row r="90" spans="2:7" x14ac:dyDescent="0.25">
      <c r="F90" t="str">
        <f t="shared" si="4"/>
        <v>不存在</v>
      </c>
      <c r="G90" t="s">
        <v>1030</v>
      </c>
    </row>
    <row r="91" spans="2:7" x14ac:dyDescent="0.25">
      <c r="F91" t="str">
        <f t="shared" si="4"/>
        <v>不存在</v>
      </c>
      <c r="G91" t="s">
        <v>1031</v>
      </c>
    </row>
    <row r="92" spans="2:7" x14ac:dyDescent="0.25">
      <c r="F92" t="str">
        <f t="shared" si="4"/>
        <v>不存在</v>
      </c>
      <c r="G92" t="s">
        <v>1032</v>
      </c>
    </row>
    <row r="93" spans="2:7" x14ac:dyDescent="0.25">
      <c r="F93" t="str">
        <f t="shared" ref="F93:F114" si="5">IF(COUNTIF($B$29:$B$114,G93)&gt;0,"存在","不存在")</f>
        <v>不存在</v>
      </c>
      <c r="G93" t="s">
        <v>1033</v>
      </c>
    </row>
    <row r="94" spans="2:7" x14ac:dyDescent="0.25">
      <c r="F94" t="str">
        <f t="shared" si="5"/>
        <v>不存在</v>
      </c>
      <c r="G94" t="s">
        <v>1034</v>
      </c>
    </row>
    <row r="95" spans="2:7" x14ac:dyDescent="0.25">
      <c r="F95" t="str">
        <f t="shared" si="5"/>
        <v>不存在</v>
      </c>
      <c r="G95" t="s">
        <v>1035</v>
      </c>
    </row>
    <row r="96" spans="2:7" x14ac:dyDescent="0.25">
      <c r="F96" t="str">
        <f t="shared" si="5"/>
        <v>不存在</v>
      </c>
      <c r="G96" t="s">
        <v>1036</v>
      </c>
    </row>
    <row r="97" spans="6:7" x14ac:dyDescent="0.25">
      <c r="F97" t="str">
        <f t="shared" si="5"/>
        <v>不存在</v>
      </c>
      <c r="G97" t="s">
        <v>1037</v>
      </c>
    </row>
    <row r="98" spans="6:7" x14ac:dyDescent="0.25">
      <c r="F98" t="str">
        <f t="shared" si="5"/>
        <v>不存在</v>
      </c>
      <c r="G98" t="s">
        <v>1038</v>
      </c>
    </row>
    <row r="99" spans="6:7" x14ac:dyDescent="0.25">
      <c r="F99" t="str">
        <f t="shared" si="5"/>
        <v>不存在</v>
      </c>
      <c r="G99" t="s">
        <v>1039</v>
      </c>
    </row>
    <row r="100" spans="6:7" x14ac:dyDescent="0.25">
      <c r="F100" t="str">
        <f t="shared" si="5"/>
        <v>不存在</v>
      </c>
      <c r="G100" t="s">
        <v>1040</v>
      </c>
    </row>
    <row r="101" spans="6:7" x14ac:dyDescent="0.25">
      <c r="F101" t="str">
        <f t="shared" si="5"/>
        <v>不存在</v>
      </c>
      <c r="G101" t="s">
        <v>1041</v>
      </c>
    </row>
    <row r="102" spans="6:7" x14ac:dyDescent="0.25">
      <c r="F102" t="str">
        <f t="shared" si="5"/>
        <v>不存在</v>
      </c>
      <c r="G102" t="s">
        <v>1042</v>
      </c>
    </row>
    <row r="103" spans="6:7" x14ac:dyDescent="0.25">
      <c r="F103" t="str">
        <f t="shared" si="5"/>
        <v>不存在</v>
      </c>
      <c r="G103" t="s">
        <v>1043</v>
      </c>
    </row>
    <row r="104" spans="6:7" x14ac:dyDescent="0.25">
      <c r="F104" t="str">
        <f t="shared" si="5"/>
        <v>不存在</v>
      </c>
      <c r="G104" t="s">
        <v>1044</v>
      </c>
    </row>
    <row r="105" spans="6:7" x14ac:dyDescent="0.25">
      <c r="F105" t="str">
        <f t="shared" si="5"/>
        <v>存在</v>
      </c>
      <c r="G105" t="s">
        <v>1045</v>
      </c>
    </row>
    <row r="106" spans="6:7" x14ac:dyDescent="0.25">
      <c r="F106" t="str">
        <f t="shared" si="5"/>
        <v>存在</v>
      </c>
      <c r="G106" t="s">
        <v>1046</v>
      </c>
    </row>
    <row r="107" spans="6:7" x14ac:dyDescent="0.25">
      <c r="F107" t="str">
        <f t="shared" si="5"/>
        <v>存在</v>
      </c>
      <c r="G107" t="s">
        <v>1047</v>
      </c>
    </row>
    <row r="108" spans="6:7" x14ac:dyDescent="0.25">
      <c r="F108" t="str">
        <f t="shared" si="5"/>
        <v>存在</v>
      </c>
      <c r="G108" t="s">
        <v>1048</v>
      </c>
    </row>
    <row r="109" spans="6:7" x14ac:dyDescent="0.25">
      <c r="F109" t="str">
        <f t="shared" si="5"/>
        <v>存在</v>
      </c>
      <c r="G109" t="s">
        <v>1049</v>
      </c>
    </row>
    <row r="110" spans="6:7" x14ac:dyDescent="0.25">
      <c r="F110" t="str">
        <f t="shared" si="5"/>
        <v>存在</v>
      </c>
      <c r="G110" t="s">
        <v>1050</v>
      </c>
    </row>
    <row r="111" spans="6:7" x14ac:dyDescent="0.25">
      <c r="F111" t="str">
        <f t="shared" si="5"/>
        <v>存在</v>
      </c>
      <c r="G111" t="s">
        <v>1051</v>
      </c>
    </row>
    <row r="112" spans="6:7" x14ac:dyDescent="0.25">
      <c r="F112" t="str">
        <f t="shared" si="5"/>
        <v>存在</v>
      </c>
      <c r="G112" t="s">
        <v>1052</v>
      </c>
    </row>
    <row r="113" spans="6:7" x14ac:dyDescent="0.25">
      <c r="F113" t="str">
        <f t="shared" si="5"/>
        <v>存在</v>
      </c>
      <c r="G113" t="s">
        <v>1053</v>
      </c>
    </row>
    <row r="114" spans="6:7" x14ac:dyDescent="0.25">
      <c r="F114" t="str">
        <f t="shared" si="5"/>
        <v>存在</v>
      </c>
      <c r="G114" t="s">
        <v>1054</v>
      </c>
    </row>
  </sheetData>
  <phoneticPr fontId="5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W115"/>
  <sheetViews>
    <sheetView topLeftCell="A60" workbookViewId="0">
      <selection activeCell="C77" sqref="C77"/>
    </sheetView>
  </sheetViews>
  <sheetFormatPr defaultColWidth="9" defaultRowHeight="14.4" x14ac:dyDescent="0.25"/>
  <sheetData>
    <row r="1" spans="1:101" x14ac:dyDescent="0.25">
      <c r="A1" s="1" t="s">
        <v>879</v>
      </c>
      <c r="B1" t="s">
        <v>954</v>
      </c>
      <c r="C1" t="s">
        <v>880</v>
      </c>
      <c r="D1" t="s">
        <v>881</v>
      </c>
      <c r="E1" t="s">
        <v>868</v>
      </c>
      <c r="F1" t="s">
        <v>869</v>
      </c>
      <c r="G1" t="s">
        <v>870</v>
      </c>
      <c r="H1" t="s">
        <v>871</v>
      </c>
      <c r="I1" t="s">
        <v>872</v>
      </c>
      <c r="J1" t="s">
        <v>873</v>
      </c>
      <c r="K1" t="s">
        <v>874</v>
      </c>
      <c r="L1" t="s">
        <v>875</v>
      </c>
      <c r="M1" t="s">
        <v>876</v>
      </c>
      <c r="N1" t="s">
        <v>877</v>
      </c>
      <c r="O1" t="s">
        <v>883</v>
      </c>
      <c r="P1" t="s">
        <v>878</v>
      </c>
      <c r="Q1" t="s">
        <v>900</v>
      </c>
      <c r="R1" t="s">
        <v>901</v>
      </c>
      <c r="S1" t="s">
        <v>902</v>
      </c>
      <c r="T1" t="s">
        <v>903</v>
      </c>
      <c r="U1" t="s">
        <v>904</v>
      </c>
      <c r="V1" t="s">
        <v>905</v>
      </c>
      <c r="W1" t="s">
        <v>906</v>
      </c>
      <c r="X1" t="s">
        <v>907</v>
      </c>
      <c r="Y1" t="s">
        <v>908</v>
      </c>
      <c r="Z1" t="s">
        <v>909</v>
      </c>
      <c r="AA1" t="s">
        <v>910</v>
      </c>
      <c r="AB1" t="s">
        <v>911</v>
      </c>
      <c r="AC1" t="s">
        <v>912</v>
      </c>
      <c r="AD1" t="s">
        <v>913</v>
      </c>
      <c r="AE1" t="s">
        <v>914</v>
      </c>
      <c r="AF1" t="s">
        <v>915</v>
      </c>
      <c r="AG1" t="s">
        <v>916</v>
      </c>
      <c r="AH1" t="s">
        <v>917</v>
      </c>
      <c r="AI1" t="s">
        <v>918</v>
      </c>
      <c r="AJ1" t="s">
        <v>919</v>
      </c>
      <c r="AK1" t="s">
        <v>920</v>
      </c>
      <c r="AL1" t="s">
        <v>921</v>
      </c>
      <c r="AM1" t="s">
        <v>922</v>
      </c>
      <c r="AN1" t="s">
        <v>923</v>
      </c>
      <c r="AO1" t="s">
        <v>924</v>
      </c>
      <c r="AP1" t="s">
        <v>925</v>
      </c>
      <c r="AQ1" t="s">
        <v>926</v>
      </c>
      <c r="AR1" t="s">
        <v>927</v>
      </c>
      <c r="AS1" t="s">
        <v>928</v>
      </c>
      <c r="AT1" t="s">
        <v>929</v>
      </c>
      <c r="AU1" t="s">
        <v>930</v>
      </c>
      <c r="AV1" t="s">
        <v>931</v>
      </c>
      <c r="AW1" t="s">
        <v>932</v>
      </c>
      <c r="AX1" t="s">
        <v>933</v>
      </c>
      <c r="AY1" t="s">
        <v>934</v>
      </c>
      <c r="AZ1" t="s">
        <v>935</v>
      </c>
      <c r="BA1" t="s">
        <v>936</v>
      </c>
      <c r="BB1" t="s">
        <v>937</v>
      </c>
      <c r="BC1" t="s">
        <v>882</v>
      </c>
      <c r="BD1" t="s">
        <v>938</v>
      </c>
      <c r="BE1" t="s">
        <v>939</v>
      </c>
      <c r="BF1" t="s">
        <v>940</v>
      </c>
      <c r="BG1" t="s">
        <v>941</v>
      </c>
      <c r="BH1" t="s">
        <v>942</v>
      </c>
      <c r="BI1" t="s">
        <v>943</v>
      </c>
      <c r="BJ1" t="s">
        <v>896</v>
      </c>
      <c r="BK1" t="s">
        <v>944</v>
      </c>
      <c r="BL1" t="s">
        <v>945</v>
      </c>
      <c r="BM1" t="s">
        <v>946</v>
      </c>
      <c r="BN1" t="s">
        <v>947</v>
      </c>
      <c r="BO1" t="s">
        <v>948</v>
      </c>
      <c r="BP1" t="s">
        <v>949</v>
      </c>
      <c r="BQ1" t="s">
        <v>950</v>
      </c>
      <c r="BR1" t="s">
        <v>951</v>
      </c>
      <c r="BS1" t="s">
        <v>952</v>
      </c>
      <c r="BT1" t="s">
        <v>953</v>
      </c>
      <c r="BU1" t="s">
        <v>884</v>
      </c>
      <c r="BV1" t="s">
        <v>885</v>
      </c>
      <c r="BW1" t="s">
        <v>886</v>
      </c>
      <c r="BX1" t="s">
        <v>887</v>
      </c>
      <c r="BY1" t="s">
        <v>888</v>
      </c>
      <c r="BZ1" t="s">
        <v>967</v>
      </c>
      <c r="CA1" t="s">
        <v>968</v>
      </c>
      <c r="CB1" t="s">
        <v>969</v>
      </c>
      <c r="CC1" t="s">
        <v>970</v>
      </c>
      <c r="CD1" t="s">
        <v>889</v>
      </c>
      <c r="CE1" t="s">
        <v>890</v>
      </c>
      <c r="CF1" t="s">
        <v>891</v>
      </c>
      <c r="CG1" t="s">
        <v>892</v>
      </c>
      <c r="CH1" t="s">
        <v>1071</v>
      </c>
      <c r="CI1" t="s">
        <v>1072</v>
      </c>
      <c r="CJ1" t="s">
        <v>1073</v>
      </c>
      <c r="CK1" t="s">
        <v>1074</v>
      </c>
      <c r="CL1" t="s">
        <v>1075</v>
      </c>
      <c r="CM1" t="s">
        <v>1076</v>
      </c>
    </row>
    <row r="2" spans="1:101" x14ac:dyDescent="0.25">
      <c r="A2" s="2" t="s">
        <v>893</v>
      </c>
      <c r="B2" t="s">
        <v>894</v>
      </c>
      <c r="C2" t="s">
        <v>895</v>
      </c>
      <c r="D2" t="s">
        <v>879</v>
      </c>
      <c r="E2" t="s">
        <v>954</v>
      </c>
      <c r="F2" t="s">
        <v>880</v>
      </c>
      <c r="G2" t="s">
        <v>881</v>
      </c>
      <c r="H2" t="s">
        <v>868</v>
      </c>
      <c r="I2" t="s">
        <v>869</v>
      </c>
      <c r="J2" t="s">
        <v>870</v>
      </c>
      <c r="K2" t="s">
        <v>871</v>
      </c>
      <c r="L2" t="s">
        <v>872</v>
      </c>
      <c r="M2" t="s">
        <v>873</v>
      </c>
      <c r="N2" t="s">
        <v>874</v>
      </c>
      <c r="O2" t="s">
        <v>875</v>
      </c>
      <c r="P2" t="s">
        <v>876</v>
      </c>
      <c r="Q2" t="s">
        <v>877</v>
      </c>
      <c r="R2" t="s">
        <v>883</v>
      </c>
      <c r="S2" t="s">
        <v>1077</v>
      </c>
      <c r="T2" t="s">
        <v>900</v>
      </c>
      <c r="U2" t="s">
        <v>901</v>
      </c>
      <c r="V2" t="s">
        <v>902</v>
      </c>
      <c r="W2" t="s">
        <v>903</v>
      </c>
      <c r="X2" t="s">
        <v>904</v>
      </c>
      <c r="Y2" t="s">
        <v>905</v>
      </c>
      <c r="Z2" t="s">
        <v>906</v>
      </c>
      <c r="AA2" t="s">
        <v>907</v>
      </c>
      <c r="AB2" t="s">
        <v>908</v>
      </c>
      <c r="AC2" t="s">
        <v>909</v>
      </c>
      <c r="AD2" t="s">
        <v>910</v>
      </c>
      <c r="AE2" t="s">
        <v>911</v>
      </c>
      <c r="AF2" t="s">
        <v>912</v>
      </c>
      <c r="AG2" t="s">
        <v>913</v>
      </c>
      <c r="AH2" t="s">
        <v>914</v>
      </c>
      <c r="AI2" t="s">
        <v>915</v>
      </c>
      <c r="AJ2" t="s">
        <v>916</v>
      </c>
      <c r="AK2" t="s">
        <v>917</v>
      </c>
      <c r="AL2" t="s">
        <v>918</v>
      </c>
      <c r="AM2" t="s">
        <v>919</v>
      </c>
      <c r="AN2" t="s">
        <v>920</v>
      </c>
      <c r="AO2" t="s">
        <v>921</v>
      </c>
      <c r="AP2" t="s">
        <v>922</v>
      </c>
      <c r="AQ2" t="s">
        <v>923</v>
      </c>
      <c r="AR2" t="s">
        <v>924</v>
      </c>
      <c r="AS2" t="s">
        <v>925</v>
      </c>
      <c r="AT2" t="s">
        <v>926</v>
      </c>
      <c r="AU2" t="s">
        <v>927</v>
      </c>
      <c r="AV2" t="s">
        <v>928</v>
      </c>
      <c r="AW2" t="s">
        <v>929</v>
      </c>
      <c r="AX2" t="s">
        <v>930</v>
      </c>
      <c r="AY2" t="s">
        <v>931</v>
      </c>
      <c r="AZ2" t="s">
        <v>932</v>
      </c>
      <c r="BA2" t="s">
        <v>933</v>
      </c>
      <c r="BB2" t="s">
        <v>934</v>
      </c>
      <c r="BC2" t="s">
        <v>935</v>
      </c>
      <c r="BD2" t="s">
        <v>936</v>
      </c>
      <c r="BE2" t="s">
        <v>937</v>
      </c>
      <c r="BF2" t="s">
        <v>882</v>
      </c>
      <c r="BG2" t="s">
        <v>938</v>
      </c>
      <c r="BH2" t="s">
        <v>939</v>
      </c>
      <c r="BI2" t="s">
        <v>940</v>
      </c>
      <c r="BJ2" t="s">
        <v>941</v>
      </c>
      <c r="BK2" t="s">
        <v>942</v>
      </c>
      <c r="BL2" t="s">
        <v>943</v>
      </c>
      <c r="BM2" t="s">
        <v>896</v>
      </c>
      <c r="BN2" t="s">
        <v>944</v>
      </c>
      <c r="BO2" t="s">
        <v>945</v>
      </c>
      <c r="BP2" t="s">
        <v>946</v>
      </c>
      <c r="BQ2" t="s">
        <v>947</v>
      </c>
      <c r="BR2" t="s">
        <v>948</v>
      </c>
      <c r="BS2" t="s">
        <v>949</v>
      </c>
      <c r="BT2" t="s">
        <v>950</v>
      </c>
      <c r="BU2" t="s">
        <v>951</v>
      </c>
      <c r="BV2" t="s">
        <v>952</v>
      </c>
      <c r="BW2" t="s">
        <v>884</v>
      </c>
      <c r="BX2" t="s">
        <v>885</v>
      </c>
      <c r="BY2" t="s">
        <v>886</v>
      </c>
      <c r="BZ2" t="s">
        <v>887</v>
      </c>
      <c r="CA2" t="s">
        <v>888</v>
      </c>
      <c r="CB2" t="s">
        <v>967</v>
      </c>
      <c r="CC2" t="s">
        <v>968</v>
      </c>
      <c r="CD2" t="s">
        <v>1071</v>
      </c>
      <c r="CE2" t="s">
        <v>1072</v>
      </c>
      <c r="CF2" t="s">
        <v>1073</v>
      </c>
      <c r="CG2" t="s">
        <v>1074</v>
      </c>
      <c r="CH2" t="s">
        <v>1075</v>
      </c>
      <c r="CI2" t="s">
        <v>1076</v>
      </c>
      <c r="CJ2" t="s">
        <v>1078</v>
      </c>
      <c r="CK2" t="s">
        <v>1079</v>
      </c>
      <c r="CL2" t="s">
        <v>1080</v>
      </c>
      <c r="CM2" t="s">
        <v>1081</v>
      </c>
      <c r="CN2" t="s">
        <v>1082</v>
      </c>
      <c r="CO2" t="s">
        <v>1083</v>
      </c>
      <c r="CP2" t="s">
        <v>1084</v>
      </c>
      <c r="CQ2" t="s">
        <v>1085</v>
      </c>
      <c r="CR2" t="s">
        <v>969</v>
      </c>
      <c r="CS2" t="s">
        <v>970</v>
      </c>
      <c r="CT2" t="s">
        <v>889</v>
      </c>
      <c r="CU2" t="s">
        <v>890</v>
      </c>
      <c r="CV2" t="s">
        <v>891</v>
      </c>
      <c r="CW2" t="s">
        <v>892</v>
      </c>
    </row>
    <row r="3" spans="1:101" x14ac:dyDescent="0.25">
      <c r="A3" t="str">
        <f t="shared" ref="A3:BL3" si="0">MID(A1,1,4)</f>
        <v>3325</v>
      </c>
      <c r="B3" t="str">
        <f t="shared" si="0"/>
        <v>3327</v>
      </c>
      <c r="C3" t="str">
        <f t="shared" si="0"/>
        <v>3328</v>
      </c>
      <c r="D3" t="str">
        <f t="shared" si="0"/>
        <v>3329</v>
      </c>
      <c r="E3" t="str">
        <f t="shared" si="0"/>
        <v>1010</v>
      </c>
      <c r="F3" t="str">
        <f t="shared" si="0"/>
        <v>1015</v>
      </c>
      <c r="G3" t="str">
        <f t="shared" si="0"/>
        <v>1020</v>
      </c>
      <c r="H3" t="str">
        <f t="shared" si="0"/>
        <v>1025</v>
      </c>
      <c r="I3" t="str">
        <f t="shared" si="0"/>
        <v>1030</v>
      </c>
      <c r="J3" t="str">
        <f t="shared" si="0"/>
        <v>1034</v>
      </c>
      <c r="K3" t="str">
        <f t="shared" si="0"/>
        <v>1035</v>
      </c>
      <c r="L3" t="str">
        <f t="shared" si="0"/>
        <v>1045</v>
      </c>
      <c r="M3" t="str">
        <f t="shared" si="0"/>
        <v>1050</v>
      </c>
      <c r="N3" t="str">
        <f t="shared" si="0"/>
        <v>1051</v>
      </c>
      <c r="O3" t="str">
        <f t="shared" si="0"/>
        <v>1085</v>
      </c>
      <c r="P3" t="str">
        <f t="shared" si="0"/>
        <v>1090</v>
      </c>
      <c r="Q3" t="str">
        <f t="shared" si="0"/>
        <v>2010</v>
      </c>
      <c r="R3" t="str">
        <f t="shared" si="0"/>
        <v>2015</v>
      </c>
      <c r="S3" t="str">
        <f t="shared" si="0"/>
        <v>2020</v>
      </c>
      <c r="T3" t="str">
        <f t="shared" si="0"/>
        <v>2025</v>
      </c>
      <c r="U3" t="str">
        <f t="shared" si="0"/>
        <v>2030</v>
      </c>
      <c r="V3" t="str">
        <f t="shared" si="0"/>
        <v>2035</v>
      </c>
      <c r="W3" t="str">
        <f t="shared" si="0"/>
        <v>2040</v>
      </c>
      <c r="X3" t="str">
        <f t="shared" si="0"/>
        <v>2045</v>
      </c>
      <c r="Y3" t="str">
        <f t="shared" si="0"/>
        <v>2050</v>
      </c>
      <c r="Z3" t="str">
        <f t="shared" si="0"/>
        <v>2055</v>
      </c>
      <c r="AA3" t="str">
        <f t="shared" si="0"/>
        <v>2061</v>
      </c>
      <c r="AB3" t="str">
        <f t="shared" si="0"/>
        <v>2065</v>
      </c>
      <c r="AC3" t="str">
        <f t="shared" si="0"/>
        <v>2066</v>
      </c>
      <c r="AD3" t="str">
        <f t="shared" si="0"/>
        <v>2070</v>
      </c>
      <c r="AE3" t="str">
        <f t="shared" si="0"/>
        <v>2075</v>
      </c>
      <c r="AF3" t="str">
        <f t="shared" si="0"/>
        <v>2080</v>
      </c>
      <c r="AG3" t="str">
        <f t="shared" si="0"/>
        <v>2076</v>
      </c>
      <c r="AH3" t="str">
        <f t="shared" si="0"/>
        <v>2081</v>
      </c>
      <c r="AI3" t="str">
        <f t="shared" si="0"/>
        <v>2077</v>
      </c>
      <c r="AJ3" t="str">
        <f t="shared" si="0"/>
        <v>2082</v>
      </c>
      <c r="AK3" t="str">
        <f t="shared" si="0"/>
        <v>2078</v>
      </c>
      <c r="AL3" t="str">
        <f t="shared" si="0"/>
        <v>2083</v>
      </c>
      <c r="AM3" t="str">
        <f t="shared" si="0"/>
        <v>2079</v>
      </c>
      <c r="AN3" t="str">
        <f t="shared" si="0"/>
        <v>2084</v>
      </c>
      <c r="AO3" t="str">
        <f t="shared" si="0"/>
        <v>2086</v>
      </c>
      <c r="AP3" t="str">
        <f t="shared" si="0"/>
        <v>2087</v>
      </c>
      <c r="AQ3" t="str">
        <f t="shared" si="0"/>
        <v>2085</v>
      </c>
      <c r="AR3" t="str">
        <f t="shared" si="0"/>
        <v>2090</v>
      </c>
      <c r="AS3" t="str">
        <f t="shared" si="0"/>
        <v>2091</v>
      </c>
      <c r="AT3" t="str">
        <f t="shared" si="0"/>
        <v>2092</v>
      </c>
      <c r="AU3" t="str">
        <f t="shared" si="0"/>
        <v>2093</v>
      </c>
      <c r="AV3" t="str">
        <f t="shared" si="0"/>
        <v>2094</v>
      </c>
      <c r="AW3" t="str">
        <f t="shared" si="0"/>
        <v>2130</v>
      </c>
      <c r="AX3" t="str">
        <f t="shared" si="0"/>
        <v>2135</v>
      </c>
      <c r="AY3" t="str">
        <f t="shared" si="0"/>
        <v>2136</v>
      </c>
      <c r="AZ3" t="str">
        <f t="shared" si="0"/>
        <v>2137</v>
      </c>
      <c r="BA3" t="str">
        <f t="shared" si="0"/>
        <v>2140</v>
      </c>
      <c r="BB3" t="str">
        <f t="shared" si="0"/>
        <v>2145</v>
      </c>
      <c r="BC3" t="str">
        <f t="shared" si="0"/>
        <v>2150</v>
      </c>
      <c r="BD3" t="str">
        <f t="shared" si="0"/>
        <v>2200</v>
      </c>
      <c r="BE3" t="str">
        <f t="shared" si="0"/>
        <v>2205</v>
      </c>
      <c r="BF3" t="str">
        <f t="shared" si="0"/>
        <v>2210</v>
      </c>
      <c r="BG3" t="str">
        <f t="shared" si="0"/>
        <v>2215</v>
      </c>
      <c r="BH3" t="str">
        <f t="shared" si="0"/>
        <v>2220</v>
      </c>
      <c r="BI3" t="str">
        <f t="shared" si="0"/>
        <v>2300</v>
      </c>
      <c r="BJ3" t="str">
        <f t="shared" si="0"/>
        <v>4301</v>
      </c>
      <c r="BK3" t="str">
        <f t="shared" si="0"/>
        <v>5025</v>
      </c>
      <c r="BL3" t="str">
        <f t="shared" si="0"/>
        <v>5035</v>
      </c>
      <c r="BM3" t="str">
        <f t="shared" ref="BM3:CM3" si="1">MID(BM1,1,4)</f>
        <v>5040</v>
      </c>
      <c r="BN3" t="str">
        <f t="shared" si="1"/>
        <v>5045</v>
      </c>
      <c r="BO3" t="str">
        <f t="shared" si="1"/>
        <v>5055</v>
      </c>
      <c r="BP3" t="str">
        <f t="shared" si="1"/>
        <v>5065</v>
      </c>
      <c r="BQ3" t="str">
        <f t="shared" si="1"/>
        <v>5070</v>
      </c>
      <c r="BR3" t="str">
        <f t="shared" si="1"/>
        <v>5075</v>
      </c>
      <c r="BS3" t="str">
        <f t="shared" si="1"/>
        <v>5080</v>
      </c>
      <c r="BT3" t="str">
        <f t="shared" si="1"/>
        <v>5115</v>
      </c>
      <c r="BU3" t="str">
        <f t="shared" si="1"/>
        <v>5300</v>
      </c>
      <c r="BV3" t="str">
        <f t="shared" si="1"/>
        <v>5305</v>
      </c>
      <c r="BW3" t="str">
        <f t="shared" si="1"/>
        <v>5310</v>
      </c>
      <c r="BX3" t="str">
        <f t="shared" si="1"/>
        <v>5315</v>
      </c>
      <c r="BY3" t="str">
        <f t="shared" si="1"/>
        <v>5320</v>
      </c>
      <c r="BZ3" t="str">
        <f t="shared" si="1"/>
        <v>5400</v>
      </c>
      <c r="CA3" t="str">
        <f t="shared" si="1"/>
        <v>5410</v>
      </c>
      <c r="CB3" t="str">
        <f t="shared" si="1"/>
        <v>7001</v>
      </c>
      <c r="CC3" t="str">
        <f t="shared" si="1"/>
        <v>9985</v>
      </c>
      <c r="CD3" t="str">
        <f t="shared" si="1"/>
        <v>9995</v>
      </c>
      <c r="CE3" t="str">
        <f t="shared" si="1"/>
        <v>9997</v>
      </c>
      <c r="CF3" t="str">
        <f t="shared" si="1"/>
        <v>9998</v>
      </c>
      <c r="CG3" t="str">
        <f t="shared" si="1"/>
        <v>9999</v>
      </c>
      <c r="CH3" t="str">
        <f t="shared" si="1"/>
        <v>5500</v>
      </c>
      <c r="CI3" t="str">
        <f t="shared" si="1"/>
        <v>5505</v>
      </c>
      <c r="CJ3" t="str">
        <f t="shared" si="1"/>
        <v>5510</v>
      </c>
      <c r="CK3" t="str">
        <f t="shared" si="1"/>
        <v>5515</v>
      </c>
      <c r="CL3" t="str">
        <f t="shared" si="1"/>
        <v>5520</v>
      </c>
      <c r="CM3" t="str">
        <f t="shared" si="1"/>
        <v>5525</v>
      </c>
    </row>
    <row r="4" spans="1:101" x14ac:dyDescent="0.25">
      <c r="A4" t="str">
        <f t="shared" ref="A4:BL4" si="2">MID(A2,1,4)</f>
        <v>3010</v>
      </c>
      <c r="B4" t="str">
        <f t="shared" si="2"/>
        <v>3015</v>
      </c>
      <c r="C4" t="str">
        <f t="shared" si="2"/>
        <v>3041</v>
      </c>
      <c r="D4" t="str">
        <f t="shared" si="2"/>
        <v>3325</v>
      </c>
      <c r="E4" t="str">
        <f t="shared" si="2"/>
        <v>3327</v>
      </c>
      <c r="F4" t="str">
        <f t="shared" si="2"/>
        <v>3328</v>
      </c>
      <c r="G4" t="str">
        <f t="shared" si="2"/>
        <v>3329</v>
      </c>
      <c r="H4" t="str">
        <f t="shared" si="2"/>
        <v>1010</v>
      </c>
      <c r="I4" t="str">
        <f t="shared" si="2"/>
        <v>1015</v>
      </c>
      <c r="J4" t="str">
        <f t="shared" si="2"/>
        <v>1020</v>
      </c>
      <c r="K4" t="str">
        <f t="shared" si="2"/>
        <v>1025</v>
      </c>
      <c r="L4" t="str">
        <f t="shared" si="2"/>
        <v>1030</v>
      </c>
      <c r="M4" t="str">
        <f t="shared" si="2"/>
        <v>1034</v>
      </c>
      <c r="N4" t="str">
        <f t="shared" si="2"/>
        <v>1035</v>
      </c>
      <c r="O4" t="str">
        <f t="shared" si="2"/>
        <v>1045</v>
      </c>
      <c r="P4" t="str">
        <f t="shared" si="2"/>
        <v>1050</v>
      </c>
      <c r="Q4" t="str">
        <f t="shared" si="2"/>
        <v>1051</v>
      </c>
      <c r="R4" t="str">
        <f t="shared" si="2"/>
        <v>1085</v>
      </c>
      <c r="S4" t="str">
        <f t="shared" si="2"/>
        <v>1090</v>
      </c>
      <c r="T4" t="str">
        <f t="shared" si="2"/>
        <v>2010</v>
      </c>
      <c r="U4" t="str">
        <f t="shared" si="2"/>
        <v>2015</v>
      </c>
      <c r="V4" t="str">
        <f t="shared" si="2"/>
        <v>2020</v>
      </c>
      <c r="W4" t="str">
        <f t="shared" si="2"/>
        <v>2025</v>
      </c>
      <c r="X4" t="str">
        <f t="shared" si="2"/>
        <v>2030</v>
      </c>
      <c r="Y4" t="str">
        <f t="shared" si="2"/>
        <v>2035</v>
      </c>
      <c r="Z4" t="str">
        <f t="shared" si="2"/>
        <v>2040</v>
      </c>
      <c r="AA4" t="str">
        <f t="shared" si="2"/>
        <v>2045</v>
      </c>
      <c r="AB4" t="str">
        <f t="shared" si="2"/>
        <v>2050</v>
      </c>
      <c r="AC4" t="str">
        <f t="shared" si="2"/>
        <v>2055</v>
      </c>
      <c r="AD4" t="str">
        <f t="shared" si="2"/>
        <v>2061</v>
      </c>
      <c r="AE4" t="str">
        <f t="shared" si="2"/>
        <v>2065</v>
      </c>
      <c r="AF4" t="str">
        <f t="shared" si="2"/>
        <v>2066</v>
      </c>
      <c r="AG4" t="str">
        <f t="shared" si="2"/>
        <v>2070</v>
      </c>
      <c r="AH4" t="str">
        <f t="shared" si="2"/>
        <v>2075</v>
      </c>
      <c r="AI4" t="str">
        <f t="shared" si="2"/>
        <v>2080</v>
      </c>
      <c r="AJ4" t="str">
        <f t="shared" si="2"/>
        <v>2076</v>
      </c>
      <c r="AK4" t="str">
        <f t="shared" si="2"/>
        <v>2081</v>
      </c>
      <c r="AL4" t="str">
        <f t="shared" si="2"/>
        <v>2077</v>
      </c>
      <c r="AM4" t="str">
        <f t="shared" si="2"/>
        <v>2082</v>
      </c>
      <c r="AN4" t="str">
        <f t="shared" si="2"/>
        <v>2078</v>
      </c>
      <c r="AO4" t="str">
        <f t="shared" si="2"/>
        <v>2083</v>
      </c>
      <c r="AP4" t="str">
        <f t="shared" si="2"/>
        <v>2079</v>
      </c>
      <c r="AQ4" t="str">
        <f t="shared" si="2"/>
        <v>2084</v>
      </c>
      <c r="AR4" t="str">
        <f t="shared" si="2"/>
        <v>2086</v>
      </c>
      <c r="AS4" t="str">
        <f t="shared" si="2"/>
        <v>2087</v>
      </c>
      <c r="AT4" t="str">
        <f t="shared" si="2"/>
        <v>2085</v>
      </c>
      <c r="AU4" t="str">
        <f t="shared" si="2"/>
        <v>2090</v>
      </c>
      <c r="AV4" t="str">
        <f t="shared" si="2"/>
        <v>2091</v>
      </c>
      <c r="AW4" t="str">
        <f t="shared" si="2"/>
        <v>2092</v>
      </c>
      <c r="AX4" t="str">
        <f t="shared" si="2"/>
        <v>2093</v>
      </c>
      <c r="AY4" t="str">
        <f t="shared" si="2"/>
        <v>2094</v>
      </c>
      <c r="AZ4" t="str">
        <f t="shared" si="2"/>
        <v>2130</v>
      </c>
      <c r="BA4" t="str">
        <f t="shared" si="2"/>
        <v>2135</v>
      </c>
      <c r="BB4" t="str">
        <f t="shared" si="2"/>
        <v>2136</v>
      </c>
      <c r="BC4" t="str">
        <f t="shared" si="2"/>
        <v>2137</v>
      </c>
      <c r="BD4" t="str">
        <f t="shared" si="2"/>
        <v>2140</v>
      </c>
      <c r="BE4" t="str">
        <f t="shared" si="2"/>
        <v>2145</v>
      </c>
      <c r="BF4" t="str">
        <f t="shared" si="2"/>
        <v>2150</v>
      </c>
      <c r="BG4" t="str">
        <f t="shared" si="2"/>
        <v>2200</v>
      </c>
      <c r="BH4" t="str">
        <f t="shared" si="2"/>
        <v>2205</v>
      </c>
      <c r="BI4" t="str">
        <f t="shared" si="2"/>
        <v>2210</v>
      </c>
      <c r="BJ4" t="str">
        <f t="shared" si="2"/>
        <v>2215</v>
      </c>
      <c r="BK4" t="str">
        <f t="shared" si="2"/>
        <v>2220</v>
      </c>
      <c r="BL4" t="str">
        <f t="shared" si="2"/>
        <v>2300</v>
      </c>
      <c r="BM4" t="str">
        <f t="shared" ref="BM4:CW4" si="3">MID(BM2,1,4)</f>
        <v>4301</v>
      </c>
      <c r="BN4" t="str">
        <f t="shared" si="3"/>
        <v>5025</v>
      </c>
      <c r="BO4" t="str">
        <f t="shared" si="3"/>
        <v>5035</v>
      </c>
      <c r="BP4" t="str">
        <f t="shared" si="3"/>
        <v>5040</v>
      </c>
      <c r="BQ4" t="str">
        <f t="shared" si="3"/>
        <v>5045</v>
      </c>
      <c r="BR4" t="str">
        <f t="shared" si="3"/>
        <v>5055</v>
      </c>
      <c r="BS4" t="str">
        <f t="shared" si="3"/>
        <v>5065</v>
      </c>
      <c r="BT4" t="str">
        <f t="shared" si="3"/>
        <v>5070</v>
      </c>
      <c r="BU4" t="str">
        <f t="shared" si="3"/>
        <v>5075</v>
      </c>
      <c r="BV4" t="str">
        <f t="shared" si="3"/>
        <v>5080</v>
      </c>
      <c r="BW4" t="str">
        <f t="shared" si="3"/>
        <v>5300</v>
      </c>
      <c r="BX4" t="str">
        <f t="shared" si="3"/>
        <v>5305</v>
      </c>
      <c r="BY4" t="str">
        <f t="shared" si="3"/>
        <v>5310</v>
      </c>
      <c r="BZ4" t="str">
        <f t="shared" si="3"/>
        <v>5315</v>
      </c>
      <c r="CA4" t="str">
        <f t="shared" si="3"/>
        <v>5320</v>
      </c>
      <c r="CB4" t="str">
        <f t="shared" si="3"/>
        <v>5400</v>
      </c>
      <c r="CC4" t="str">
        <f t="shared" si="3"/>
        <v>5410</v>
      </c>
      <c r="CD4" t="str">
        <f t="shared" si="3"/>
        <v>5500</v>
      </c>
      <c r="CE4" t="str">
        <f t="shared" si="3"/>
        <v>5505</v>
      </c>
      <c r="CF4" t="str">
        <f t="shared" si="3"/>
        <v>5510</v>
      </c>
      <c r="CG4" t="str">
        <f t="shared" si="3"/>
        <v>5515</v>
      </c>
      <c r="CH4" t="str">
        <f t="shared" si="3"/>
        <v>5520</v>
      </c>
      <c r="CI4" t="str">
        <f t="shared" si="3"/>
        <v>5525</v>
      </c>
      <c r="CJ4" t="str">
        <f t="shared" si="3"/>
        <v>6095</v>
      </c>
      <c r="CK4" t="str">
        <f t="shared" si="3"/>
        <v>6100</v>
      </c>
      <c r="CL4" t="str">
        <f t="shared" si="3"/>
        <v>6105</v>
      </c>
      <c r="CM4" t="str">
        <f t="shared" si="3"/>
        <v>6110</v>
      </c>
      <c r="CN4" t="str">
        <f t="shared" si="3"/>
        <v>6115</v>
      </c>
      <c r="CO4" t="str">
        <f t="shared" si="3"/>
        <v>6120</v>
      </c>
      <c r="CP4" t="str">
        <f t="shared" si="3"/>
        <v>6125</v>
      </c>
      <c r="CQ4" t="str">
        <f t="shared" si="3"/>
        <v>6130</v>
      </c>
      <c r="CR4" t="str">
        <f t="shared" si="3"/>
        <v>7001</v>
      </c>
      <c r="CS4" t="str">
        <f t="shared" si="3"/>
        <v>9985</v>
      </c>
      <c r="CT4" t="str">
        <f t="shared" si="3"/>
        <v>9995</v>
      </c>
      <c r="CU4" t="str">
        <f t="shared" si="3"/>
        <v>9997</v>
      </c>
      <c r="CV4" t="str">
        <f t="shared" si="3"/>
        <v>9998</v>
      </c>
      <c r="CW4" t="str">
        <f t="shared" si="3"/>
        <v>9999</v>
      </c>
    </row>
    <row r="6" spans="1:101" x14ac:dyDescent="0.25">
      <c r="A6" t="s">
        <v>982</v>
      </c>
      <c r="B6" t="s">
        <v>1055</v>
      </c>
      <c r="C6" t="s">
        <v>983</v>
      </c>
      <c r="D6" t="s">
        <v>984</v>
      </c>
      <c r="E6" t="s">
        <v>971</v>
      </c>
      <c r="F6" t="s">
        <v>972</v>
      </c>
      <c r="G6" t="s">
        <v>973</v>
      </c>
      <c r="H6" t="s">
        <v>974</v>
      </c>
      <c r="I6" t="s">
        <v>975</v>
      </c>
      <c r="J6" t="s">
        <v>976</v>
      </c>
      <c r="K6" t="s">
        <v>977</v>
      </c>
      <c r="L6" t="s">
        <v>978</v>
      </c>
      <c r="M6" t="s">
        <v>979</v>
      </c>
      <c r="N6" t="s">
        <v>980</v>
      </c>
      <c r="O6" t="s">
        <v>986</v>
      </c>
      <c r="P6" t="s">
        <v>981</v>
      </c>
      <c r="Q6" t="s">
        <v>1001</v>
      </c>
      <c r="R6" t="s">
        <v>1002</v>
      </c>
      <c r="S6" t="s">
        <v>1003</v>
      </c>
      <c r="T6" t="s">
        <v>1004</v>
      </c>
      <c r="U6" t="s">
        <v>1005</v>
      </c>
      <c r="V6" t="s">
        <v>1006</v>
      </c>
      <c r="W6" t="s">
        <v>1007</v>
      </c>
      <c r="X6" t="s">
        <v>1008</v>
      </c>
      <c r="Y6" t="s">
        <v>1009</v>
      </c>
      <c r="Z6" t="s">
        <v>1010</v>
      </c>
      <c r="AA6" t="s">
        <v>1011</v>
      </c>
      <c r="AB6" t="s">
        <v>1012</v>
      </c>
      <c r="AC6" t="s">
        <v>1013</v>
      </c>
      <c r="AD6" t="s">
        <v>1014</v>
      </c>
      <c r="AE6" t="s">
        <v>1015</v>
      </c>
      <c r="AF6" t="s">
        <v>1016</v>
      </c>
      <c r="AG6" t="s">
        <v>1017</v>
      </c>
      <c r="AH6" t="s">
        <v>1018</v>
      </c>
      <c r="AI6" t="s">
        <v>1019</v>
      </c>
      <c r="AJ6" t="s">
        <v>1020</v>
      </c>
      <c r="AK6" t="s">
        <v>1021</v>
      </c>
      <c r="AL6" t="s">
        <v>1022</v>
      </c>
      <c r="AM6" t="s">
        <v>1023</v>
      </c>
      <c r="AN6" t="s">
        <v>1024</v>
      </c>
      <c r="AO6" t="s">
        <v>1025</v>
      </c>
      <c r="AP6" t="s">
        <v>1026</v>
      </c>
      <c r="AQ6" t="s">
        <v>1027</v>
      </c>
      <c r="AR6" t="s">
        <v>1028</v>
      </c>
      <c r="AS6" t="s">
        <v>1029</v>
      </c>
      <c r="AT6" t="s">
        <v>1030</v>
      </c>
      <c r="AU6" t="s">
        <v>1031</v>
      </c>
      <c r="AV6" t="s">
        <v>1032</v>
      </c>
      <c r="AW6" t="s">
        <v>1033</v>
      </c>
      <c r="AX6" t="s">
        <v>1034</v>
      </c>
      <c r="AY6" t="s">
        <v>1035</v>
      </c>
      <c r="AZ6" t="s">
        <v>1036</v>
      </c>
      <c r="BA6" t="s">
        <v>1037</v>
      </c>
      <c r="BB6" t="s">
        <v>1038</v>
      </c>
      <c r="BC6" t="s">
        <v>985</v>
      </c>
      <c r="BD6" t="s">
        <v>1039</v>
      </c>
      <c r="BE6" t="s">
        <v>1040</v>
      </c>
      <c r="BF6" t="s">
        <v>1041</v>
      </c>
      <c r="BG6" t="s">
        <v>1042</v>
      </c>
      <c r="BH6" t="s">
        <v>1043</v>
      </c>
      <c r="BI6" t="s">
        <v>1044</v>
      </c>
      <c r="BJ6" t="s">
        <v>998</v>
      </c>
      <c r="BK6" t="s">
        <v>1045</v>
      </c>
      <c r="BL6" t="s">
        <v>1046</v>
      </c>
      <c r="BM6" t="s">
        <v>1047</v>
      </c>
      <c r="BN6" t="s">
        <v>1048</v>
      </c>
      <c r="BO6" t="s">
        <v>1049</v>
      </c>
      <c r="BP6" t="s">
        <v>1050</v>
      </c>
      <c r="BQ6" t="s">
        <v>1051</v>
      </c>
      <c r="BR6" t="s">
        <v>1052</v>
      </c>
      <c r="BS6" t="s">
        <v>1053</v>
      </c>
      <c r="BT6" t="s">
        <v>1054</v>
      </c>
      <c r="BU6" t="s">
        <v>987</v>
      </c>
      <c r="BV6" t="s">
        <v>988</v>
      </c>
      <c r="BW6" t="s">
        <v>989</v>
      </c>
      <c r="BX6" t="s">
        <v>990</v>
      </c>
      <c r="BY6" t="s">
        <v>991</v>
      </c>
      <c r="BZ6" t="s">
        <v>1067</v>
      </c>
      <c r="CA6" t="s">
        <v>1068</v>
      </c>
      <c r="CB6" t="s">
        <v>1069</v>
      </c>
      <c r="CC6" t="s">
        <v>1070</v>
      </c>
      <c r="CD6" t="s">
        <v>992</v>
      </c>
      <c r="CE6" t="s">
        <v>993</v>
      </c>
      <c r="CF6" t="s">
        <v>994</v>
      </c>
      <c r="CG6" t="s">
        <v>995</v>
      </c>
      <c r="CH6" t="s">
        <v>1086</v>
      </c>
      <c r="CI6" t="s">
        <v>1087</v>
      </c>
      <c r="CJ6" t="s">
        <v>1088</v>
      </c>
      <c r="CK6" t="s">
        <v>1089</v>
      </c>
      <c r="CL6" t="s">
        <v>1090</v>
      </c>
      <c r="CM6" t="s">
        <v>1091</v>
      </c>
    </row>
    <row r="7" spans="1:101" x14ac:dyDescent="0.25">
      <c r="A7" t="s">
        <v>996</v>
      </c>
      <c r="B7" t="s">
        <v>997</v>
      </c>
      <c r="C7" t="s">
        <v>802</v>
      </c>
      <c r="D7" t="s">
        <v>982</v>
      </c>
      <c r="E7" t="s">
        <v>1055</v>
      </c>
      <c r="F7" t="s">
        <v>983</v>
      </c>
      <c r="G7" t="s">
        <v>984</v>
      </c>
      <c r="H7" t="s">
        <v>971</v>
      </c>
      <c r="I7" t="s">
        <v>972</v>
      </c>
      <c r="J7" t="s">
        <v>973</v>
      </c>
      <c r="K7" t="s">
        <v>974</v>
      </c>
      <c r="L7" t="s">
        <v>975</v>
      </c>
      <c r="M7" t="s">
        <v>976</v>
      </c>
      <c r="N7" t="s">
        <v>977</v>
      </c>
      <c r="O7" t="s">
        <v>978</v>
      </c>
      <c r="P7" t="s">
        <v>979</v>
      </c>
      <c r="Q7" t="s">
        <v>980</v>
      </c>
      <c r="R7" t="s">
        <v>986</v>
      </c>
      <c r="S7" t="s">
        <v>981</v>
      </c>
      <c r="T7" t="s">
        <v>1001</v>
      </c>
      <c r="U7" t="s">
        <v>1002</v>
      </c>
      <c r="V7" t="s">
        <v>1003</v>
      </c>
      <c r="W7" t="s">
        <v>1004</v>
      </c>
      <c r="X7" t="s">
        <v>1005</v>
      </c>
      <c r="Y7" t="s">
        <v>1006</v>
      </c>
      <c r="Z7" t="s">
        <v>1007</v>
      </c>
      <c r="AA7" t="s">
        <v>1008</v>
      </c>
      <c r="AB7" t="s">
        <v>1009</v>
      </c>
      <c r="AC7" t="s">
        <v>1010</v>
      </c>
      <c r="AD7" t="s">
        <v>1011</v>
      </c>
      <c r="AE7" t="s">
        <v>1012</v>
      </c>
      <c r="AF7" t="s">
        <v>1013</v>
      </c>
      <c r="AG7" t="s">
        <v>1014</v>
      </c>
      <c r="AH7" t="s">
        <v>1015</v>
      </c>
      <c r="AI7" t="s">
        <v>1016</v>
      </c>
      <c r="AJ7" t="s">
        <v>1017</v>
      </c>
      <c r="AK7" t="s">
        <v>1018</v>
      </c>
      <c r="AL7" t="s">
        <v>1019</v>
      </c>
      <c r="AM7" t="s">
        <v>1020</v>
      </c>
      <c r="AN7" t="s">
        <v>1021</v>
      </c>
      <c r="AO7" t="s">
        <v>1022</v>
      </c>
      <c r="AP7" t="s">
        <v>1023</v>
      </c>
      <c r="AQ7" t="s">
        <v>1024</v>
      </c>
      <c r="AR7" t="s">
        <v>1025</v>
      </c>
      <c r="AS7" t="s">
        <v>1026</v>
      </c>
      <c r="AT7" t="s">
        <v>1027</v>
      </c>
      <c r="AU7" t="s">
        <v>1028</v>
      </c>
      <c r="AV7" t="s">
        <v>1029</v>
      </c>
      <c r="AW7" t="s">
        <v>1030</v>
      </c>
      <c r="AX7" t="s">
        <v>1031</v>
      </c>
      <c r="AY7" t="s">
        <v>1032</v>
      </c>
      <c r="AZ7" t="s">
        <v>1033</v>
      </c>
      <c r="BA7" t="s">
        <v>1034</v>
      </c>
      <c r="BB7" t="s">
        <v>1035</v>
      </c>
      <c r="BC7" t="s">
        <v>1036</v>
      </c>
      <c r="BD7" t="s">
        <v>1037</v>
      </c>
      <c r="BE7" t="s">
        <v>1038</v>
      </c>
      <c r="BF7" t="s">
        <v>985</v>
      </c>
      <c r="BG7" t="s">
        <v>1039</v>
      </c>
      <c r="BH7" t="s">
        <v>1040</v>
      </c>
      <c r="BI7" t="s">
        <v>1041</v>
      </c>
      <c r="BJ7" t="s">
        <v>1042</v>
      </c>
      <c r="BK7" t="s">
        <v>1043</v>
      </c>
      <c r="BL7" t="s">
        <v>1044</v>
      </c>
      <c r="BM7" t="s">
        <v>998</v>
      </c>
      <c r="BN7" t="s">
        <v>1045</v>
      </c>
      <c r="BO7" t="s">
        <v>1046</v>
      </c>
      <c r="BP7" t="s">
        <v>1047</v>
      </c>
      <c r="BQ7" t="s">
        <v>1048</v>
      </c>
      <c r="BR7" t="s">
        <v>1049</v>
      </c>
      <c r="BS7" t="s">
        <v>1050</v>
      </c>
      <c r="BT7" t="s">
        <v>1051</v>
      </c>
      <c r="BU7" t="s">
        <v>1052</v>
      </c>
      <c r="BV7" t="s">
        <v>1053</v>
      </c>
      <c r="BW7" t="s">
        <v>987</v>
      </c>
      <c r="BX7" t="s">
        <v>988</v>
      </c>
      <c r="BY7" t="s">
        <v>989</v>
      </c>
      <c r="BZ7" t="s">
        <v>990</v>
      </c>
      <c r="CA7" t="s">
        <v>991</v>
      </c>
      <c r="CB7" t="s">
        <v>1067</v>
      </c>
      <c r="CC7" t="s">
        <v>1068</v>
      </c>
      <c r="CD7" t="s">
        <v>1086</v>
      </c>
      <c r="CE7" t="s">
        <v>1087</v>
      </c>
      <c r="CF7" t="s">
        <v>1088</v>
      </c>
      <c r="CG7" t="s">
        <v>1089</v>
      </c>
      <c r="CH7" t="s">
        <v>1090</v>
      </c>
      <c r="CI7" t="s">
        <v>1091</v>
      </c>
      <c r="CJ7" t="s">
        <v>1092</v>
      </c>
      <c r="CK7" t="s">
        <v>1093</v>
      </c>
      <c r="CL7" t="s">
        <v>1094</v>
      </c>
      <c r="CM7" t="s">
        <v>1095</v>
      </c>
      <c r="CN7" t="s">
        <v>1096</v>
      </c>
      <c r="CO7" t="s">
        <v>1097</v>
      </c>
      <c r="CP7" t="s">
        <v>1098</v>
      </c>
      <c r="CQ7" t="s">
        <v>1099</v>
      </c>
      <c r="CR7" t="s">
        <v>1069</v>
      </c>
      <c r="CS7" t="s">
        <v>1070</v>
      </c>
      <c r="CT7" t="s">
        <v>992</v>
      </c>
      <c r="CU7" t="s">
        <v>993</v>
      </c>
      <c r="CV7" t="s">
        <v>994</v>
      </c>
      <c r="CW7" t="s">
        <v>995</v>
      </c>
    </row>
    <row r="15" spans="1:101" x14ac:dyDescent="0.25">
      <c r="A15" t="s">
        <v>982</v>
      </c>
      <c r="B15" t="str">
        <f>IF(COUNTIF($C$15:$C$115,A15)&gt;0,"存在","不存在")</f>
        <v>存在</v>
      </c>
      <c r="C15" t="s">
        <v>996</v>
      </c>
      <c r="D15" t="str">
        <f>IF(COUNTIF($A$15:$A$115,C15)&gt;0,"存在","不存在")</f>
        <v>不存在</v>
      </c>
    </row>
    <row r="16" spans="1:101" x14ac:dyDescent="0.25">
      <c r="A16" t="s">
        <v>1055</v>
      </c>
      <c r="B16" t="str">
        <f t="shared" ref="B16:B47" si="4">IF(COUNTIF($C$15:$C$115,A16)&gt;0,"存在","不存在")</f>
        <v>存在</v>
      </c>
      <c r="C16" t="s">
        <v>997</v>
      </c>
      <c r="D16" t="str">
        <f t="shared" ref="D16:D47" si="5">IF(COUNTIF($A$15:$A$115,C16)&gt;0,"存在","不存在")</f>
        <v>不存在</v>
      </c>
    </row>
    <row r="17" spans="1:4" x14ac:dyDescent="0.25">
      <c r="A17" t="s">
        <v>983</v>
      </c>
      <c r="B17" t="str">
        <f t="shared" si="4"/>
        <v>存在</v>
      </c>
      <c r="C17" t="s">
        <v>802</v>
      </c>
      <c r="D17" t="str">
        <f t="shared" si="5"/>
        <v>不存在</v>
      </c>
    </row>
    <row r="18" spans="1:4" x14ac:dyDescent="0.25">
      <c r="A18" t="s">
        <v>984</v>
      </c>
      <c r="B18" t="str">
        <f t="shared" si="4"/>
        <v>存在</v>
      </c>
      <c r="C18" t="s">
        <v>982</v>
      </c>
      <c r="D18" t="str">
        <f t="shared" si="5"/>
        <v>存在</v>
      </c>
    </row>
    <row r="19" spans="1:4" x14ac:dyDescent="0.25">
      <c r="A19" t="s">
        <v>971</v>
      </c>
      <c r="B19" t="str">
        <f t="shared" si="4"/>
        <v>存在</v>
      </c>
      <c r="C19" t="s">
        <v>1055</v>
      </c>
      <c r="D19" t="str">
        <f t="shared" si="5"/>
        <v>存在</v>
      </c>
    </row>
    <row r="20" spans="1:4" x14ac:dyDescent="0.25">
      <c r="A20" t="s">
        <v>972</v>
      </c>
      <c r="B20" t="str">
        <f t="shared" si="4"/>
        <v>存在</v>
      </c>
      <c r="C20" t="s">
        <v>983</v>
      </c>
      <c r="D20" t="str">
        <f t="shared" si="5"/>
        <v>存在</v>
      </c>
    </row>
    <row r="21" spans="1:4" x14ac:dyDescent="0.25">
      <c r="A21" t="s">
        <v>973</v>
      </c>
      <c r="B21" t="str">
        <f t="shared" si="4"/>
        <v>存在</v>
      </c>
      <c r="C21" t="s">
        <v>984</v>
      </c>
      <c r="D21" t="str">
        <f t="shared" si="5"/>
        <v>存在</v>
      </c>
    </row>
    <row r="22" spans="1:4" x14ac:dyDescent="0.25">
      <c r="A22" t="s">
        <v>974</v>
      </c>
      <c r="B22" t="str">
        <f t="shared" si="4"/>
        <v>存在</v>
      </c>
      <c r="C22" t="s">
        <v>971</v>
      </c>
      <c r="D22" t="str">
        <f t="shared" si="5"/>
        <v>存在</v>
      </c>
    </row>
    <row r="23" spans="1:4" x14ac:dyDescent="0.25">
      <c r="A23" t="s">
        <v>975</v>
      </c>
      <c r="B23" t="str">
        <f t="shared" si="4"/>
        <v>存在</v>
      </c>
      <c r="C23" t="s">
        <v>972</v>
      </c>
      <c r="D23" t="str">
        <f t="shared" si="5"/>
        <v>存在</v>
      </c>
    </row>
    <row r="24" spans="1:4" x14ac:dyDescent="0.25">
      <c r="A24" t="s">
        <v>976</v>
      </c>
      <c r="B24" t="str">
        <f t="shared" si="4"/>
        <v>存在</v>
      </c>
      <c r="C24" t="s">
        <v>973</v>
      </c>
      <c r="D24" t="str">
        <f t="shared" si="5"/>
        <v>存在</v>
      </c>
    </row>
    <row r="25" spans="1:4" x14ac:dyDescent="0.25">
      <c r="A25" t="s">
        <v>977</v>
      </c>
      <c r="B25" t="str">
        <f t="shared" si="4"/>
        <v>存在</v>
      </c>
      <c r="C25" t="s">
        <v>974</v>
      </c>
      <c r="D25" t="str">
        <f t="shared" si="5"/>
        <v>存在</v>
      </c>
    </row>
    <row r="26" spans="1:4" x14ac:dyDescent="0.25">
      <c r="A26" t="s">
        <v>978</v>
      </c>
      <c r="B26" t="str">
        <f t="shared" si="4"/>
        <v>存在</v>
      </c>
      <c r="C26" t="s">
        <v>975</v>
      </c>
      <c r="D26" t="str">
        <f t="shared" si="5"/>
        <v>存在</v>
      </c>
    </row>
    <row r="27" spans="1:4" x14ac:dyDescent="0.25">
      <c r="A27" t="s">
        <v>979</v>
      </c>
      <c r="B27" t="str">
        <f t="shared" si="4"/>
        <v>存在</v>
      </c>
      <c r="C27" t="s">
        <v>976</v>
      </c>
      <c r="D27" t="str">
        <f t="shared" si="5"/>
        <v>存在</v>
      </c>
    </row>
    <row r="28" spans="1:4" x14ac:dyDescent="0.25">
      <c r="A28" t="s">
        <v>980</v>
      </c>
      <c r="B28" t="str">
        <f t="shared" si="4"/>
        <v>存在</v>
      </c>
      <c r="C28" t="s">
        <v>977</v>
      </c>
      <c r="D28" t="str">
        <f t="shared" si="5"/>
        <v>存在</v>
      </c>
    </row>
    <row r="29" spans="1:4" x14ac:dyDescent="0.25">
      <c r="A29" t="s">
        <v>986</v>
      </c>
      <c r="B29" t="str">
        <f t="shared" si="4"/>
        <v>存在</v>
      </c>
      <c r="C29" t="s">
        <v>978</v>
      </c>
      <c r="D29" t="str">
        <f t="shared" si="5"/>
        <v>存在</v>
      </c>
    </row>
    <row r="30" spans="1:4" x14ac:dyDescent="0.25">
      <c r="A30" t="s">
        <v>981</v>
      </c>
      <c r="B30" t="str">
        <f t="shared" si="4"/>
        <v>存在</v>
      </c>
      <c r="C30" t="s">
        <v>979</v>
      </c>
      <c r="D30" t="str">
        <f t="shared" si="5"/>
        <v>存在</v>
      </c>
    </row>
    <row r="31" spans="1:4" x14ac:dyDescent="0.25">
      <c r="A31" t="s">
        <v>1001</v>
      </c>
      <c r="B31" t="str">
        <f t="shared" si="4"/>
        <v>存在</v>
      </c>
      <c r="C31" t="s">
        <v>980</v>
      </c>
      <c r="D31" t="str">
        <f t="shared" si="5"/>
        <v>存在</v>
      </c>
    </row>
    <row r="32" spans="1:4" x14ac:dyDescent="0.25">
      <c r="A32" t="s">
        <v>1002</v>
      </c>
      <c r="B32" t="str">
        <f t="shared" si="4"/>
        <v>存在</v>
      </c>
      <c r="C32" t="s">
        <v>986</v>
      </c>
      <c r="D32" t="str">
        <f t="shared" si="5"/>
        <v>存在</v>
      </c>
    </row>
    <row r="33" spans="1:4" x14ac:dyDescent="0.25">
      <c r="A33" t="s">
        <v>1003</v>
      </c>
      <c r="B33" t="str">
        <f t="shared" si="4"/>
        <v>存在</v>
      </c>
      <c r="C33" t="s">
        <v>981</v>
      </c>
      <c r="D33" t="str">
        <f t="shared" si="5"/>
        <v>存在</v>
      </c>
    </row>
    <row r="34" spans="1:4" x14ac:dyDescent="0.25">
      <c r="A34" t="s">
        <v>1004</v>
      </c>
      <c r="B34" t="str">
        <f t="shared" si="4"/>
        <v>存在</v>
      </c>
      <c r="C34" t="s">
        <v>1001</v>
      </c>
      <c r="D34" t="str">
        <f t="shared" si="5"/>
        <v>存在</v>
      </c>
    </row>
    <row r="35" spans="1:4" x14ac:dyDescent="0.25">
      <c r="A35" t="s">
        <v>1005</v>
      </c>
      <c r="B35" t="str">
        <f t="shared" si="4"/>
        <v>存在</v>
      </c>
      <c r="C35" t="s">
        <v>1002</v>
      </c>
      <c r="D35" t="str">
        <f t="shared" si="5"/>
        <v>存在</v>
      </c>
    </row>
    <row r="36" spans="1:4" x14ac:dyDescent="0.25">
      <c r="A36" t="s">
        <v>1006</v>
      </c>
      <c r="B36" t="str">
        <f t="shared" si="4"/>
        <v>存在</v>
      </c>
      <c r="C36" t="s">
        <v>1003</v>
      </c>
      <c r="D36" t="str">
        <f t="shared" si="5"/>
        <v>存在</v>
      </c>
    </row>
    <row r="37" spans="1:4" x14ac:dyDescent="0.25">
      <c r="A37" t="s">
        <v>1007</v>
      </c>
      <c r="B37" t="str">
        <f t="shared" si="4"/>
        <v>存在</v>
      </c>
      <c r="C37" t="s">
        <v>1004</v>
      </c>
      <c r="D37" t="str">
        <f t="shared" si="5"/>
        <v>存在</v>
      </c>
    </row>
    <row r="38" spans="1:4" x14ac:dyDescent="0.25">
      <c r="A38" t="s">
        <v>1008</v>
      </c>
      <c r="B38" t="str">
        <f t="shared" si="4"/>
        <v>存在</v>
      </c>
      <c r="C38" t="s">
        <v>1005</v>
      </c>
      <c r="D38" t="str">
        <f t="shared" si="5"/>
        <v>存在</v>
      </c>
    </row>
    <row r="39" spans="1:4" x14ac:dyDescent="0.25">
      <c r="A39" t="s">
        <v>1009</v>
      </c>
      <c r="B39" t="str">
        <f t="shared" si="4"/>
        <v>存在</v>
      </c>
      <c r="C39" t="s">
        <v>1006</v>
      </c>
      <c r="D39" t="str">
        <f t="shared" si="5"/>
        <v>存在</v>
      </c>
    </row>
    <row r="40" spans="1:4" x14ac:dyDescent="0.25">
      <c r="A40" t="s">
        <v>1010</v>
      </c>
      <c r="B40" t="str">
        <f t="shared" si="4"/>
        <v>存在</v>
      </c>
      <c r="C40" t="s">
        <v>1007</v>
      </c>
      <c r="D40" t="str">
        <f t="shared" si="5"/>
        <v>存在</v>
      </c>
    </row>
    <row r="41" spans="1:4" x14ac:dyDescent="0.25">
      <c r="A41" t="s">
        <v>1011</v>
      </c>
      <c r="B41" t="str">
        <f t="shared" si="4"/>
        <v>存在</v>
      </c>
      <c r="C41" t="s">
        <v>1008</v>
      </c>
      <c r="D41" t="str">
        <f t="shared" si="5"/>
        <v>存在</v>
      </c>
    </row>
    <row r="42" spans="1:4" x14ac:dyDescent="0.25">
      <c r="A42" t="s">
        <v>1012</v>
      </c>
      <c r="B42" t="str">
        <f t="shared" si="4"/>
        <v>存在</v>
      </c>
      <c r="C42" t="s">
        <v>1009</v>
      </c>
      <c r="D42" t="str">
        <f t="shared" si="5"/>
        <v>存在</v>
      </c>
    </row>
    <row r="43" spans="1:4" x14ac:dyDescent="0.25">
      <c r="A43" t="s">
        <v>1013</v>
      </c>
      <c r="B43" t="str">
        <f t="shared" si="4"/>
        <v>存在</v>
      </c>
      <c r="C43" t="s">
        <v>1010</v>
      </c>
      <c r="D43" t="str">
        <f t="shared" si="5"/>
        <v>存在</v>
      </c>
    </row>
    <row r="44" spans="1:4" x14ac:dyDescent="0.25">
      <c r="A44" t="s">
        <v>1014</v>
      </c>
      <c r="B44" t="str">
        <f t="shared" si="4"/>
        <v>存在</v>
      </c>
      <c r="C44" t="s">
        <v>1011</v>
      </c>
      <c r="D44" t="str">
        <f t="shared" si="5"/>
        <v>存在</v>
      </c>
    </row>
    <row r="45" spans="1:4" x14ac:dyDescent="0.25">
      <c r="A45" t="s">
        <v>1015</v>
      </c>
      <c r="B45" t="str">
        <f t="shared" si="4"/>
        <v>存在</v>
      </c>
      <c r="C45" t="s">
        <v>1012</v>
      </c>
      <c r="D45" t="str">
        <f t="shared" si="5"/>
        <v>存在</v>
      </c>
    </row>
    <row r="46" spans="1:4" x14ac:dyDescent="0.25">
      <c r="A46" t="s">
        <v>1016</v>
      </c>
      <c r="B46" t="str">
        <f t="shared" si="4"/>
        <v>存在</v>
      </c>
      <c r="C46" t="s">
        <v>1013</v>
      </c>
      <c r="D46" t="str">
        <f t="shared" si="5"/>
        <v>存在</v>
      </c>
    </row>
    <row r="47" spans="1:4" x14ac:dyDescent="0.25">
      <c r="A47" t="s">
        <v>1017</v>
      </c>
      <c r="B47" t="str">
        <f t="shared" si="4"/>
        <v>存在</v>
      </c>
      <c r="C47" t="s">
        <v>1014</v>
      </c>
      <c r="D47" t="str">
        <f t="shared" si="5"/>
        <v>存在</v>
      </c>
    </row>
    <row r="48" spans="1:4" x14ac:dyDescent="0.25">
      <c r="A48" t="s">
        <v>1018</v>
      </c>
      <c r="B48" t="str">
        <f t="shared" ref="B48:B79" si="6">IF(COUNTIF($C$15:$C$115,A48)&gt;0,"存在","不存在")</f>
        <v>存在</v>
      </c>
      <c r="C48" t="s">
        <v>1015</v>
      </c>
      <c r="D48" t="str">
        <f t="shared" ref="D48:D79" si="7">IF(COUNTIF($A$15:$A$115,C48)&gt;0,"存在","不存在")</f>
        <v>存在</v>
      </c>
    </row>
    <row r="49" spans="1:4" x14ac:dyDescent="0.25">
      <c r="A49" t="s">
        <v>1019</v>
      </c>
      <c r="B49" t="str">
        <f t="shared" si="6"/>
        <v>存在</v>
      </c>
      <c r="C49" t="s">
        <v>1016</v>
      </c>
      <c r="D49" t="str">
        <f t="shared" si="7"/>
        <v>存在</v>
      </c>
    </row>
    <row r="50" spans="1:4" x14ac:dyDescent="0.25">
      <c r="A50" t="s">
        <v>1020</v>
      </c>
      <c r="B50" t="str">
        <f t="shared" si="6"/>
        <v>存在</v>
      </c>
      <c r="C50" t="s">
        <v>1017</v>
      </c>
      <c r="D50" t="str">
        <f t="shared" si="7"/>
        <v>存在</v>
      </c>
    </row>
    <row r="51" spans="1:4" x14ac:dyDescent="0.25">
      <c r="A51" t="s">
        <v>1021</v>
      </c>
      <c r="B51" t="str">
        <f t="shared" si="6"/>
        <v>存在</v>
      </c>
      <c r="C51" t="s">
        <v>1018</v>
      </c>
      <c r="D51" t="str">
        <f t="shared" si="7"/>
        <v>存在</v>
      </c>
    </row>
    <row r="52" spans="1:4" x14ac:dyDescent="0.25">
      <c r="A52" t="s">
        <v>1022</v>
      </c>
      <c r="B52" t="str">
        <f t="shared" si="6"/>
        <v>存在</v>
      </c>
      <c r="C52" t="s">
        <v>1019</v>
      </c>
      <c r="D52" t="str">
        <f t="shared" si="7"/>
        <v>存在</v>
      </c>
    </row>
    <row r="53" spans="1:4" x14ac:dyDescent="0.25">
      <c r="A53" t="s">
        <v>1023</v>
      </c>
      <c r="B53" t="str">
        <f t="shared" si="6"/>
        <v>存在</v>
      </c>
      <c r="C53" t="s">
        <v>1020</v>
      </c>
      <c r="D53" t="str">
        <f t="shared" si="7"/>
        <v>存在</v>
      </c>
    </row>
    <row r="54" spans="1:4" x14ac:dyDescent="0.25">
      <c r="A54" t="s">
        <v>1024</v>
      </c>
      <c r="B54" t="str">
        <f t="shared" si="6"/>
        <v>存在</v>
      </c>
      <c r="C54" t="s">
        <v>1021</v>
      </c>
      <c r="D54" t="str">
        <f t="shared" si="7"/>
        <v>存在</v>
      </c>
    </row>
    <row r="55" spans="1:4" x14ac:dyDescent="0.25">
      <c r="A55" t="s">
        <v>1025</v>
      </c>
      <c r="B55" t="str">
        <f t="shared" si="6"/>
        <v>存在</v>
      </c>
      <c r="C55" t="s">
        <v>1022</v>
      </c>
      <c r="D55" t="str">
        <f t="shared" si="7"/>
        <v>存在</v>
      </c>
    </row>
    <row r="56" spans="1:4" x14ac:dyDescent="0.25">
      <c r="A56" t="s">
        <v>1026</v>
      </c>
      <c r="B56" t="str">
        <f t="shared" si="6"/>
        <v>存在</v>
      </c>
      <c r="C56" t="s">
        <v>1023</v>
      </c>
      <c r="D56" t="str">
        <f t="shared" si="7"/>
        <v>存在</v>
      </c>
    </row>
    <row r="57" spans="1:4" x14ac:dyDescent="0.25">
      <c r="A57" t="s">
        <v>1027</v>
      </c>
      <c r="B57" t="str">
        <f t="shared" si="6"/>
        <v>存在</v>
      </c>
      <c r="C57" t="s">
        <v>1024</v>
      </c>
      <c r="D57" t="str">
        <f t="shared" si="7"/>
        <v>存在</v>
      </c>
    </row>
    <row r="58" spans="1:4" x14ac:dyDescent="0.25">
      <c r="A58" t="s">
        <v>1028</v>
      </c>
      <c r="B58" t="str">
        <f t="shared" si="6"/>
        <v>存在</v>
      </c>
      <c r="C58" t="s">
        <v>1025</v>
      </c>
      <c r="D58" t="str">
        <f t="shared" si="7"/>
        <v>存在</v>
      </c>
    </row>
    <row r="59" spans="1:4" x14ac:dyDescent="0.25">
      <c r="A59" t="s">
        <v>1029</v>
      </c>
      <c r="B59" t="str">
        <f t="shared" si="6"/>
        <v>存在</v>
      </c>
      <c r="C59" t="s">
        <v>1026</v>
      </c>
      <c r="D59" t="str">
        <f t="shared" si="7"/>
        <v>存在</v>
      </c>
    </row>
    <row r="60" spans="1:4" x14ac:dyDescent="0.25">
      <c r="A60" t="s">
        <v>1030</v>
      </c>
      <c r="B60" t="str">
        <f t="shared" si="6"/>
        <v>存在</v>
      </c>
      <c r="C60" t="s">
        <v>1027</v>
      </c>
      <c r="D60" t="str">
        <f t="shared" si="7"/>
        <v>存在</v>
      </c>
    </row>
    <row r="61" spans="1:4" x14ac:dyDescent="0.25">
      <c r="A61" t="s">
        <v>1031</v>
      </c>
      <c r="B61" t="str">
        <f t="shared" si="6"/>
        <v>存在</v>
      </c>
      <c r="C61" t="s">
        <v>1028</v>
      </c>
      <c r="D61" t="str">
        <f t="shared" si="7"/>
        <v>存在</v>
      </c>
    </row>
    <row r="62" spans="1:4" x14ac:dyDescent="0.25">
      <c r="A62" t="s">
        <v>1032</v>
      </c>
      <c r="B62" t="str">
        <f t="shared" si="6"/>
        <v>存在</v>
      </c>
      <c r="C62" t="s">
        <v>1029</v>
      </c>
      <c r="D62" t="str">
        <f t="shared" si="7"/>
        <v>存在</v>
      </c>
    </row>
    <row r="63" spans="1:4" x14ac:dyDescent="0.25">
      <c r="A63" t="s">
        <v>1033</v>
      </c>
      <c r="B63" t="str">
        <f t="shared" si="6"/>
        <v>存在</v>
      </c>
      <c r="C63" t="s">
        <v>1030</v>
      </c>
      <c r="D63" t="str">
        <f t="shared" si="7"/>
        <v>存在</v>
      </c>
    </row>
    <row r="64" spans="1:4" x14ac:dyDescent="0.25">
      <c r="A64" t="s">
        <v>1034</v>
      </c>
      <c r="B64" t="str">
        <f t="shared" si="6"/>
        <v>存在</v>
      </c>
      <c r="C64" t="s">
        <v>1031</v>
      </c>
      <c r="D64" t="str">
        <f t="shared" si="7"/>
        <v>存在</v>
      </c>
    </row>
    <row r="65" spans="1:4" x14ac:dyDescent="0.25">
      <c r="A65" t="s">
        <v>1035</v>
      </c>
      <c r="B65" t="str">
        <f t="shared" si="6"/>
        <v>存在</v>
      </c>
      <c r="C65" t="s">
        <v>1032</v>
      </c>
      <c r="D65" t="str">
        <f t="shared" si="7"/>
        <v>存在</v>
      </c>
    </row>
    <row r="66" spans="1:4" x14ac:dyDescent="0.25">
      <c r="A66" t="s">
        <v>1036</v>
      </c>
      <c r="B66" t="str">
        <f t="shared" si="6"/>
        <v>存在</v>
      </c>
      <c r="C66" t="s">
        <v>1033</v>
      </c>
      <c r="D66" t="str">
        <f t="shared" si="7"/>
        <v>存在</v>
      </c>
    </row>
    <row r="67" spans="1:4" x14ac:dyDescent="0.25">
      <c r="A67" t="s">
        <v>1037</v>
      </c>
      <c r="B67" t="str">
        <f t="shared" si="6"/>
        <v>存在</v>
      </c>
      <c r="C67" t="s">
        <v>1034</v>
      </c>
      <c r="D67" t="str">
        <f t="shared" si="7"/>
        <v>存在</v>
      </c>
    </row>
    <row r="68" spans="1:4" x14ac:dyDescent="0.25">
      <c r="A68" t="s">
        <v>1038</v>
      </c>
      <c r="B68" t="str">
        <f t="shared" si="6"/>
        <v>存在</v>
      </c>
      <c r="C68" t="s">
        <v>1035</v>
      </c>
      <c r="D68" t="str">
        <f t="shared" si="7"/>
        <v>存在</v>
      </c>
    </row>
    <row r="69" spans="1:4" x14ac:dyDescent="0.25">
      <c r="A69" t="s">
        <v>985</v>
      </c>
      <c r="B69" t="str">
        <f t="shared" si="6"/>
        <v>存在</v>
      </c>
      <c r="C69" t="s">
        <v>1036</v>
      </c>
      <c r="D69" t="str">
        <f t="shared" si="7"/>
        <v>存在</v>
      </c>
    </row>
    <row r="70" spans="1:4" x14ac:dyDescent="0.25">
      <c r="A70" t="s">
        <v>1039</v>
      </c>
      <c r="B70" t="str">
        <f t="shared" si="6"/>
        <v>存在</v>
      </c>
      <c r="C70" t="s">
        <v>1037</v>
      </c>
      <c r="D70" t="str">
        <f t="shared" si="7"/>
        <v>存在</v>
      </c>
    </row>
    <row r="71" spans="1:4" x14ac:dyDescent="0.25">
      <c r="A71" t="s">
        <v>1040</v>
      </c>
      <c r="B71" t="str">
        <f t="shared" si="6"/>
        <v>存在</v>
      </c>
      <c r="C71" t="s">
        <v>1038</v>
      </c>
      <c r="D71" t="str">
        <f t="shared" si="7"/>
        <v>存在</v>
      </c>
    </row>
    <row r="72" spans="1:4" x14ac:dyDescent="0.25">
      <c r="A72" t="s">
        <v>1041</v>
      </c>
      <c r="B72" t="str">
        <f t="shared" si="6"/>
        <v>存在</v>
      </c>
      <c r="C72" t="s">
        <v>985</v>
      </c>
      <c r="D72" t="str">
        <f t="shared" si="7"/>
        <v>存在</v>
      </c>
    </row>
    <row r="73" spans="1:4" x14ac:dyDescent="0.25">
      <c r="A73" t="s">
        <v>1042</v>
      </c>
      <c r="B73" t="str">
        <f t="shared" si="6"/>
        <v>存在</v>
      </c>
      <c r="C73" t="s">
        <v>1039</v>
      </c>
      <c r="D73" t="str">
        <f t="shared" si="7"/>
        <v>存在</v>
      </c>
    </row>
    <row r="74" spans="1:4" x14ac:dyDescent="0.25">
      <c r="A74" t="s">
        <v>1043</v>
      </c>
      <c r="B74" t="str">
        <f t="shared" si="6"/>
        <v>存在</v>
      </c>
      <c r="C74" t="s">
        <v>1040</v>
      </c>
      <c r="D74" t="str">
        <f t="shared" si="7"/>
        <v>存在</v>
      </c>
    </row>
    <row r="75" spans="1:4" x14ac:dyDescent="0.25">
      <c r="A75" t="s">
        <v>1044</v>
      </c>
      <c r="B75" t="str">
        <f t="shared" si="6"/>
        <v>存在</v>
      </c>
      <c r="C75" t="s">
        <v>1041</v>
      </c>
      <c r="D75" t="str">
        <f t="shared" si="7"/>
        <v>存在</v>
      </c>
    </row>
    <row r="76" spans="1:4" x14ac:dyDescent="0.25">
      <c r="A76" t="s">
        <v>998</v>
      </c>
      <c r="B76" t="str">
        <f t="shared" si="6"/>
        <v>存在</v>
      </c>
      <c r="C76" t="s">
        <v>1042</v>
      </c>
      <c r="D76" t="str">
        <f t="shared" si="7"/>
        <v>存在</v>
      </c>
    </row>
    <row r="77" spans="1:4" x14ac:dyDescent="0.25">
      <c r="A77" t="s">
        <v>1045</v>
      </c>
      <c r="B77" t="str">
        <f t="shared" si="6"/>
        <v>存在</v>
      </c>
      <c r="C77" t="s">
        <v>1043</v>
      </c>
      <c r="D77" t="str">
        <f t="shared" si="7"/>
        <v>存在</v>
      </c>
    </row>
    <row r="78" spans="1:4" x14ac:dyDescent="0.25">
      <c r="A78" t="s">
        <v>1046</v>
      </c>
      <c r="B78" t="str">
        <f t="shared" si="6"/>
        <v>存在</v>
      </c>
      <c r="C78" t="s">
        <v>1044</v>
      </c>
      <c r="D78" t="str">
        <f t="shared" si="7"/>
        <v>存在</v>
      </c>
    </row>
    <row r="79" spans="1:4" x14ac:dyDescent="0.25">
      <c r="A79" t="s">
        <v>1047</v>
      </c>
      <c r="B79" t="str">
        <f t="shared" si="6"/>
        <v>存在</v>
      </c>
      <c r="C79" t="s">
        <v>998</v>
      </c>
      <c r="D79" t="str">
        <f t="shared" si="7"/>
        <v>存在</v>
      </c>
    </row>
    <row r="80" spans="1:4" x14ac:dyDescent="0.25">
      <c r="A80" t="s">
        <v>1048</v>
      </c>
      <c r="B80" t="str">
        <f t="shared" ref="B80:B115" si="8">IF(COUNTIF($C$15:$C$115,A80)&gt;0,"存在","不存在")</f>
        <v>存在</v>
      </c>
      <c r="C80" t="s">
        <v>1045</v>
      </c>
      <c r="D80" t="str">
        <f t="shared" ref="D80:D115" si="9">IF(COUNTIF($A$15:$A$115,C80)&gt;0,"存在","不存在")</f>
        <v>存在</v>
      </c>
    </row>
    <row r="81" spans="1:4" x14ac:dyDescent="0.25">
      <c r="A81" t="s">
        <v>1049</v>
      </c>
      <c r="B81" t="str">
        <f t="shared" si="8"/>
        <v>存在</v>
      </c>
      <c r="C81" t="s">
        <v>1046</v>
      </c>
      <c r="D81" t="str">
        <f t="shared" si="9"/>
        <v>存在</v>
      </c>
    </row>
    <row r="82" spans="1:4" x14ac:dyDescent="0.25">
      <c r="A82" t="s">
        <v>1050</v>
      </c>
      <c r="B82" t="str">
        <f t="shared" si="8"/>
        <v>存在</v>
      </c>
      <c r="C82" t="s">
        <v>1047</v>
      </c>
      <c r="D82" t="str">
        <f t="shared" si="9"/>
        <v>存在</v>
      </c>
    </row>
    <row r="83" spans="1:4" x14ac:dyDescent="0.25">
      <c r="A83" t="s">
        <v>1051</v>
      </c>
      <c r="B83" t="str">
        <f t="shared" si="8"/>
        <v>存在</v>
      </c>
      <c r="C83" t="s">
        <v>1048</v>
      </c>
      <c r="D83" t="str">
        <f t="shared" si="9"/>
        <v>存在</v>
      </c>
    </row>
    <row r="84" spans="1:4" x14ac:dyDescent="0.25">
      <c r="A84" t="s">
        <v>1052</v>
      </c>
      <c r="B84" t="str">
        <f t="shared" si="8"/>
        <v>存在</v>
      </c>
      <c r="C84" t="s">
        <v>1049</v>
      </c>
      <c r="D84" t="str">
        <f t="shared" si="9"/>
        <v>存在</v>
      </c>
    </row>
    <row r="85" spans="1:4" x14ac:dyDescent="0.25">
      <c r="A85" t="s">
        <v>1053</v>
      </c>
      <c r="B85" t="str">
        <f t="shared" si="8"/>
        <v>存在</v>
      </c>
      <c r="C85" t="s">
        <v>1050</v>
      </c>
      <c r="D85" t="str">
        <f t="shared" si="9"/>
        <v>存在</v>
      </c>
    </row>
    <row r="86" spans="1:4" x14ac:dyDescent="0.25">
      <c r="A86" t="s">
        <v>1054</v>
      </c>
      <c r="B86" t="str">
        <f t="shared" si="8"/>
        <v>不存在</v>
      </c>
      <c r="C86" t="s">
        <v>1051</v>
      </c>
      <c r="D86" t="str">
        <f t="shared" si="9"/>
        <v>存在</v>
      </c>
    </row>
    <row r="87" spans="1:4" x14ac:dyDescent="0.25">
      <c r="A87" t="s">
        <v>987</v>
      </c>
      <c r="B87" t="str">
        <f t="shared" si="8"/>
        <v>存在</v>
      </c>
      <c r="C87" t="s">
        <v>1052</v>
      </c>
      <c r="D87" t="str">
        <f t="shared" si="9"/>
        <v>存在</v>
      </c>
    </row>
    <row r="88" spans="1:4" x14ac:dyDescent="0.25">
      <c r="A88" t="s">
        <v>988</v>
      </c>
      <c r="B88" t="str">
        <f t="shared" si="8"/>
        <v>存在</v>
      </c>
      <c r="C88" t="s">
        <v>1053</v>
      </c>
      <c r="D88" t="str">
        <f t="shared" si="9"/>
        <v>存在</v>
      </c>
    </row>
    <row r="89" spans="1:4" x14ac:dyDescent="0.25">
      <c r="A89" t="s">
        <v>989</v>
      </c>
      <c r="B89" t="str">
        <f t="shared" si="8"/>
        <v>存在</v>
      </c>
      <c r="C89" t="s">
        <v>987</v>
      </c>
      <c r="D89" t="str">
        <f t="shared" si="9"/>
        <v>存在</v>
      </c>
    </row>
    <row r="90" spans="1:4" x14ac:dyDescent="0.25">
      <c r="A90" t="s">
        <v>990</v>
      </c>
      <c r="B90" t="str">
        <f t="shared" si="8"/>
        <v>存在</v>
      </c>
      <c r="C90" t="s">
        <v>988</v>
      </c>
      <c r="D90" t="str">
        <f t="shared" si="9"/>
        <v>存在</v>
      </c>
    </row>
    <row r="91" spans="1:4" x14ac:dyDescent="0.25">
      <c r="A91" t="s">
        <v>991</v>
      </c>
      <c r="B91" t="str">
        <f t="shared" si="8"/>
        <v>存在</v>
      </c>
      <c r="C91" t="s">
        <v>989</v>
      </c>
      <c r="D91" t="str">
        <f t="shared" si="9"/>
        <v>存在</v>
      </c>
    </row>
    <row r="92" spans="1:4" x14ac:dyDescent="0.25">
      <c r="A92" t="s">
        <v>1067</v>
      </c>
      <c r="B92" t="str">
        <f t="shared" si="8"/>
        <v>存在</v>
      </c>
      <c r="C92" t="s">
        <v>990</v>
      </c>
      <c r="D92" t="str">
        <f t="shared" si="9"/>
        <v>存在</v>
      </c>
    </row>
    <row r="93" spans="1:4" x14ac:dyDescent="0.25">
      <c r="A93" t="s">
        <v>1068</v>
      </c>
      <c r="B93" t="str">
        <f t="shared" si="8"/>
        <v>存在</v>
      </c>
      <c r="C93" t="s">
        <v>991</v>
      </c>
      <c r="D93" t="str">
        <f t="shared" si="9"/>
        <v>存在</v>
      </c>
    </row>
    <row r="94" spans="1:4" x14ac:dyDescent="0.25">
      <c r="A94" t="s">
        <v>1069</v>
      </c>
      <c r="B94" t="str">
        <f t="shared" si="8"/>
        <v>存在</v>
      </c>
      <c r="C94" t="s">
        <v>1067</v>
      </c>
      <c r="D94" t="str">
        <f t="shared" si="9"/>
        <v>存在</v>
      </c>
    </row>
    <row r="95" spans="1:4" x14ac:dyDescent="0.25">
      <c r="A95" t="s">
        <v>1070</v>
      </c>
      <c r="B95" t="str">
        <f t="shared" si="8"/>
        <v>存在</v>
      </c>
      <c r="C95" t="s">
        <v>1068</v>
      </c>
      <c r="D95" t="str">
        <f t="shared" si="9"/>
        <v>存在</v>
      </c>
    </row>
    <row r="96" spans="1:4" x14ac:dyDescent="0.25">
      <c r="A96" t="s">
        <v>992</v>
      </c>
      <c r="B96" t="str">
        <f t="shared" si="8"/>
        <v>存在</v>
      </c>
      <c r="C96" t="s">
        <v>1086</v>
      </c>
      <c r="D96" t="str">
        <f t="shared" si="9"/>
        <v>存在</v>
      </c>
    </row>
    <row r="97" spans="1:4" x14ac:dyDescent="0.25">
      <c r="A97" t="s">
        <v>993</v>
      </c>
      <c r="B97" t="str">
        <f t="shared" si="8"/>
        <v>存在</v>
      </c>
      <c r="C97" t="s">
        <v>1087</v>
      </c>
      <c r="D97" t="str">
        <f t="shared" si="9"/>
        <v>存在</v>
      </c>
    </row>
    <row r="98" spans="1:4" x14ac:dyDescent="0.25">
      <c r="A98" t="s">
        <v>994</v>
      </c>
      <c r="B98" t="str">
        <f t="shared" si="8"/>
        <v>存在</v>
      </c>
      <c r="C98" t="s">
        <v>1088</v>
      </c>
      <c r="D98" t="str">
        <f t="shared" si="9"/>
        <v>存在</v>
      </c>
    </row>
    <row r="99" spans="1:4" x14ac:dyDescent="0.25">
      <c r="A99" t="s">
        <v>995</v>
      </c>
      <c r="B99" t="str">
        <f t="shared" si="8"/>
        <v>存在</v>
      </c>
      <c r="C99" t="s">
        <v>1089</v>
      </c>
      <c r="D99" t="str">
        <f t="shared" si="9"/>
        <v>存在</v>
      </c>
    </row>
    <row r="100" spans="1:4" x14ac:dyDescent="0.25">
      <c r="A100" t="s">
        <v>1086</v>
      </c>
      <c r="B100" t="str">
        <f t="shared" si="8"/>
        <v>存在</v>
      </c>
      <c r="C100" t="s">
        <v>1090</v>
      </c>
      <c r="D100" t="str">
        <f t="shared" si="9"/>
        <v>存在</v>
      </c>
    </row>
    <row r="101" spans="1:4" x14ac:dyDescent="0.25">
      <c r="A101" t="s">
        <v>1087</v>
      </c>
      <c r="B101" t="str">
        <f t="shared" si="8"/>
        <v>存在</v>
      </c>
      <c r="C101" t="s">
        <v>1091</v>
      </c>
      <c r="D101" t="str">
        <f t="shared" si="9"/>
        <v>存在</v>
      </c>
    </row>
    <row r="102" spans="1:4" x14ac:dyDescent="0.25">
      <c r="A102" t="s">
        <v>1088</v>
      </c>
      <c r="B102" t="str">
        <f t="shared" si="8"/>
        <v>存在</v>
      </c>
      <c r="C102" t="s">
        <v>1092</v>
      </c>
      <c r="D102" t="str">
        <f t="shared" si="9"/>
        <v>不存在</v>
      </c>
    </row>
    <row r="103" spans="1:4" x14ac:dyDescent="0.25">
      <c r="A103" t="s">
        <v>1089</v>
      </c>
      <c r="B103" t="str">
        <f t="shared" si="8"/>
        <v>存在</v>
      </c>
      <c r="C103" t="s">
        <v>1093</v>
      </c>
      <c r="D103" t="str">
        <f t="shared" si="9"/>
        <v>不存在</v>
      </c>
    </row>
    <row r="104" spans="1:4" x14ac:dyDescent="0.25">
      <c r="A104" t="s">
        <v>1090</v>
      </c>
      <c r="B104" t="str">
        <f t="shared" si="8"/>
        <v>存在</v>
      </c>
      <c r="C104" t="s">
        <v>1094</v>
      </c>
      <c r="D104" t="str">
        <f t="shared" si="9"/>
        <v>不存在</v>
      </c>
    </row>
    <row r="105" spans="1:4" x14ac:dyDescent="0.25">
      <c r="A105" t="s">
        <v>1091</v>
      </c>
      <c r="B105" t="str">
        <f t="shared" si="8"/>
        <v>存在</v>
      </c>
      <c r="C105" t="s">
        <v>1095</v>
      </c>
      <c r="D105" t="str">
        <f t="shared" si="9"/>
        <v>不存在</v>
      </c>
    </row>
    <row r="106" spans="1:4" x14ac:dyDescent="0.25">
      <c r="B106" t="str">
        <f t="shared" si="8"/>
        <v>不存在</v>
      </c>
      <c r="C106" t="s">
        <v>1096</v>
      </c>
      <c r="D106" t="str">
        <f t="shared" si="9"/>
        <v>不存在</v>
      </c>
    </row>
    <row r="107" spans="1:4" x14ac:dyDescent="0.25">
      <c r="B107" t="str">
        <f t="shared" si="8"/>
        <v>不存在</v>
      </c>
      <c r="C107" t="s">
        <v>1097</v>
      </c>
      <c r="D107" t="str">
        <f t="shared" si="9"/>
        <v>不存在</v>
      </c>
    </row>
    <row r="108" spans="1:4" x14ac:dyDescent="0.25">
      <c r="B108" t="str">
        <f t="shared" si="8"/>
        <v>不存在</v>
      </c>
      <c r="C108" t="s">
        <v>1098</v>
      </c>
      <c r="D108" t="str">
        <f t="shared" si="9"/>
        <v>不存在</v>
      </c>
    </row>
    <row r="109" spans="1:4" x14ac:dyDescent="0.25">
      <c r="B109" t="str">
        <f t="shared" si="8"/>
        <v>不存在</v>
      </c>
      <c r="C109" t="s">
        <v>1099</v>
      </c>
      <c r="D109" t="str">
        <f t="shared" si="9"/>
        <v>不存在</v>
      </c>
    </row>
    <row r="110" spans="1:4" x14ac:dyDescent="0.25">
      <c r="B110" t="str">
        <f t="shared" si="8"/>
        <v>不存在</v>
      </c>
      <c r="C110" t="s">
        <v>1069</v>
      </c>
      <c r="D110" t="str">
        <f t="shared" si="9"/>
        <v>存在</v>
      </c>
    </row>
    <row r="111" spans="1:4" x14ac:dyDescent="0.25">
      <c r="B111" t="str">
        <f t="shared" si="8"/>
        <v>不存在</v>
      </c>
      <c r="C111" t="s">
        <v>1070</v>
      </c>
      <c r="D111" t="str">
        <f t="shared" si="9"/>
        <v>存在</v>
      </c>
    </row>
    <row r="112" spans="1:4" x14ac:dyDescent="0.25">
      <c r="B112" t="str">
        <f t="shared" si="8"/>
        <v>不存在</v>
      </c>
      <c r="C112" t="s">
        <v>992</v>
      </c>
      <c r="D112" t="str">
        <f t="shared" si="9"/>
        <v>存在</v>
      </c>
    </row>
    <row r="113" spans="2:4" x14ac:dyDescent="0.25">
      <c r="B113" t="str">
        <f t="shared" si="8"/>
        <v>不存在</v>
      </c>
      <c r="C113" t="s">
        <v>993</v>
      </c>
      <c r="D113" t="str">
        <f t="shared" si="9"/>
        <v>存在</v>
      </c>
    </row>
    <row r="114" spans="2:4" x14ac:dyDescent="0.25">
      <c r="B114" t="str">
        <f t="shared" si="8"/>
        <v>不存在</v>
      </c>
      <c r="C114" t="s">
        <v>994</v>
      </c>
      <c r="D114" t="str">
        <f t="shared" si="9"/>
        <v>存在</v>
      </c>
    </row>
    <row r="115" spans="2:4" x14ac:dyDescent="0.25">
      <c r="B115" t="str">
        <f t="shared" si="8"/>
        <v>不存在</v>
      </c>
      <c r="C115" t="s">
        <v>995</v>
      </c>
      <c r="D115" t="str">
        <f t="shared" si="9"/>
        <v>存在</v>
      </c>
    </row>
  </sheetData>
  <phoneticPr fontId="5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5.11（喇叭删除前）</vt:lpstr>
      <vt:lpstr>Sheet3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一鸣 金</cp:lastModifiedBy>
  <dcterms:created xsi:type="dcterms:W3CDTF">2023-01-06T01:31:00Z</dcterms:created>
  <dcterms:modified xsi:type="dcterms:W3CDTF">2025-03-06T02:57:13Z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C59E8BB265B54C67A51E8C6EBE3DDE6F_13</vt:lpwstr>
  </property>
  <property fmtid="{D5CDD505-2E9C-101B-9397-08002B2CF9AE}" pid="3" name="KSOProductBuildVer">
    <vt:lpwstr>2052-12.1.0.15990</vt:lpwstr>
  </property>
  <property fmtid="{D5CDD505-2E9C-101B-9397-08002B2CF9AE}" pid="4" name="KSOReadingLayout">
    <vt:bool>true</vt:bool>
  </property>
</Properties>
</file>